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38434105217/WOPIServiceId_TP_BOX_2/WOPIUserId_-/"/>
    </mc:Choice>
  </mc:AlternateContent>
  <xr:revisionPtr revIDLastSave="131" documentId="8_{BE90F012-E9C4-C841-89B4-203AA0FC65C9}" xr6:coauthVersionLast="47" xr6:coauthVersionMax="47" xr10:uidLastSave="{9180741E-D62A-8240-BC14-DFBEAEFD16F7}"/>
  <bookViews>
    <workbookView xWindow="14380" yWindow="660" windowWidth="26540" windowHeight="19000" xr2:uid="{A0050999-CEB6-4F4D-B878-FEF06B031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" l="1"/>
  <c r="O30" i="1"/>
  <c r="N17" i="1"/>
  <c r="N18" i="1"/>
  <c r="N19" i="1"/>
  <c r="N20" i="1"/>
  <c r="N21" i="1"/>
  <c r="O21" i="1" s="1"/>
  <c r="N22" i="1"/>
  <c r="O22" i="1" s="1"/>
  <c r="N23" i="1"/>
  <c r="O23" i="1" s="1"/>
  <c r="N24" i="1"/>
  <c r="O24" i="1" s="1"/>
  <c r="N25" i="1"/>
  <c r="N26" i="1"/>
  <c r="N16" i="1"/>
  <c r="O16" i="1"/>
  <c r="O17" i="1"/>
  <c r="O18" i="1"/>
  <c r="O19" i="1"/>
  <c r="O20" i="1"/>
  <c r="O25" i="1"/>
  <c r="O26" i="1"/>
  <c r="J16" i="1"/>
  <c r="F16" i="1"/>
  <c r="H3" i="1"/>
  <c r="H16" i="1" s="1"/>
  <c r="D3" i="1"/>
  <c r="D16" i="1" s="1"/>
  <c r="J18" i="1"/>
  <c r="J24" i="1"/>
  <c r="J25" i="1"/>
  <c r="J26" i="1"/>
  <c r="H5" i="1"/>
  <c r="H18" i="1" s="1"/>
  <c r="H6" i="1"/>
  <c r="H19" i="1" s="1"/>
  <c r="H7" i="1"/>
  <c r="H20" i="1" s="1"/>
  <c r="H8" i="1"/>
  <c r="H21" i="1" s="1"/>
  <c r="H9" i="1"/>
  <c r="H22" i="1" s="1"/>
  <c r="H10" i="1"/>
  <c r="H23" i="1" s="1"/>
  <c r="H11" i="1"/>
  <c r="H24" i="1" s="1"/>
  <c r="H12" i="1"/>
  <c r="H25" i="1" s="1"/>
  <c r="H13" i="1"/>
  <c r="H26" i="1" s="1"/>
  <c r="F5" i="1"/>
  <c r="F18" i="1" s="1"/>
  <c r="F6" i="1"/>
  <c r="F19" i="1" s="1"/>
  <c r="F7" i="1"/>
  <c r="F20" i="1" s="1"/>
  <c r="F8" i="1"/>
  <c r="F21" i="1" s="1"/>
  <c r="F9" i="1"/>
  <c r="F22" i="1" s="1"/>
  <c r="F10" i="1"/>
  <c r="F23" i="1" s="1"/>
  <c r="F11" i="1"/>
  <c r="F24" i="1" s="1"/>
  <c r="F12" i="1"/>
  <c r="F25" i="1" s="1"/>
  <c r="F13" i="1"/>
  <c r="F26" i="1" s="1"/>
  <c r="D5" i="1"/>
  <c r="D18" i="1" s="1"/>
  <c r="D6" i="1"/>
  <c r="D19" i="1" s="1"/>
  <c r="D7" i="1"/>
  <c r="D20" i="1" s="1"/>
  <c r="D8" i="1"/>
  <c r="D21" i="1" s="1"/>
  <c r="D9" i="1"/>
  <c r="D22" i="1" s="1"/>
  <c r="D10" i="1"/>
  <c r="D23" i="1" s="1"/>
  <c r="D11" i="1"/>
  <c r="D24" i="1" s="1"/>
  <c r="D12" i="1"/>
  <c r="D25" i="1" s="1"/>
  <c r="D13" i="1"/>
  <c r="D26" i="1" s="1"/>
  <c r="J6" i="1"/>
  <c r="J19" i="1" s="1"/>
  <c r="J7" i="1"/>
  <c r="J20" i="1" s="1"/>
  <c r="J8" i="1"/>
  <c r="J21" i="1" s="1"/>
  <c r="J9" i="1"/>
  <c r="J22" i="1" s="1"/>
  <c r="J10" i="1"/>
  <c r="J23" i="1" s="1"/>
  <c r="J4" i="1"/>
  <c r="J17" i="1" s="1"/>
  <c r="H4" i="1"/>
  <c r="H17" i="1" s="1"/>
  <c r="F4" i="1"/>
  <c r="F17" i="1" s="1"/>
  <c r="D4" i="1"/>
  <c r="D17" i="1" s="1"/>
</calcChain>
</file>

<file path=xl/sharedStrings.xml><?xml version="1.0" encoding="utf-8"?>
<sst xmlns="http://schemas.openxmlformats.org/spreadsheetml/2006/main" count="16" uniqueCount="8">
  <si>
    <t>n.a.</t>
  </si>
  <si>
    <t>Community</t>
  </si>
  <si>
    <t>Enrolled (n=720)</t>
  </si>
  <si>
    <t>Received at least one dose (n=)</t>
  </si>
  <si>
    <t>Completed treatment course (pending)</t>
  </si>
  <si>
    <t>Approached</t>
  </si>
  <si>
    <t xml:space="preserve">Eligible for fMDA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</si>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</sst>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1C76-C023-FA48-9330-868235B93808}">
  <dimension ref="A2:O39"/>
  <sheetViews>
    <sheetView tabSelected="1" workbookViewId="0">
      <selection activeCell="O32" sqref="O32"/>
    </sheetView>
  </sheetViews>
  <sheetFormatPr baseColWidth="10" defaultRowHeight="16" x14ac:dyDescent="0.2"/>
  <cols>
    <col min="4" max="4" width="15.83203125" customWidth="1"/>
    <col min="6" max="6" width="13.1640625" customWidth="1"/>
    <col min="7" max="7" width="10.83203125" customWidth="1"/>
    <col min="8" max="8" width="13.83203125" customWidth="1"/>
    <col min="10" max="10" width="12.1640625" bestFit="1" customWidth="1"/>
  </cols>
  <sheetData>
    <row r="2" spans="1:15" ht="68" x14ac:dyDescent="0.2">
      <c r="A2" s="4" t="s">
        <v>1</v>
      </c>
      <c r="B2" s="4" t="s">
        <v>2</v>
      </c>
      <c r="C2" s="4" t="s">
        <v>6</v>
      </c>
      <c r="D2" s="4" t="s">
        <v>7</v>
      </c>
      <c r="E2" s="4" t="s">
        <v>5</v>
      </c>
      <c r="F2" s="4" t="s">
        <v>7</v>
      </c>
      <c r="G2" s="4" t="s">
        <v>3</v>
      </c>
      <c r="H2" s="4" t="s">
        <v>7</v>
      </c>
      <c r="I2" s="4" t="s">
        <v>4</v>
      </c>
      <c r="J2" s="4" t="s">
        <v>7</v>
      </c>
    </row>
    <row r="3" spans="1:15" x14ac:dyDescent="0.2">
      <c r="A3" s="4">
        <v>1</v>
      </c>
      <c r="B3" s="4">
        <v>496</v>
      </c>
      <c r="C3" s="4">
        <v>488</v>
      </c>
      <c r="D3" s="5">
        <f t="shared" ref="D3:D13" si="0">C3/B3*100</f>
        <v>98.387096774193552</v>
      </c>
      <c r="E3" s="4"/>
      <c r="F3" s="4"/>
      <c r="G3" s="4">
        <v>253</v>
      </c>
      <c r="H3" s="5" t="e">
        <f>G3/E3*100</f>
        <v>#DIV/0!</v>
      </c>
      <c r="I3" s="4"/>
      <c r="J3" s="4"/>
    </row>
    <row r="4" spans="1:15" x14ac:dyDescent="0.2">
      <c r="A4" s="5">
        <v>4</v>
      </c>
      <c r="B4" s="5">
        <v>358</v>
      </c>
      <c r="C4" s="5">
        <v>182</v>
      </c>
      <c r="D4" s="5">
        <f t="shared" si="0"/>
        <v>50.837988826815639</v>
      </c>
      <c r="E4" s="5">
        <v>132</v>
      </c>
      <c r="F4" s="5">
        <f>E4/C4*100</f>
        <v>72.527472527472526</v>
      </c>
      <c r="G4" s="5">
        <v>125</v>
      </c>
      <c r="H4" s="5">
        <f>G4/E4*100</f>
        <v>94.696969696969703</v>
      </c>
      <c r="I4" s="5">
        <v>92</v>
      </c>
      <c r="J4" s="5">
        <f>I4/G4*100</f>
        <v>73.599999999999994</v>
      </c>
    </row>
    <row r="5" spans="1:15" x14ac:dyDescent="0.2">
      <c r="A5" s="5">
        <v>8</v>
      </c>
      <c r="B5" s="5">
        <v>154</v>
      </c>
      <c r="C5" s="5">
        <v>124</v>
      </c>
      <c r="D5" s="5">
        <f t="shared" si="0"/>
        <v>80.519480519480524</v>
      </c>
      <c r="E5" s="5"/>
      <c r="F5" s="5">
        <f t="shared" ref="F5:F13" si="1">E5/C5*100</f>
        <v>0</v>
      </c>
      <c r="G5" s="5">
        <v>70</v>
      </c>
      <c r="H5" s="5" t="e">
        <f t="shared" ref="H5:H13" si="2">G5/E5*100</f>
        <v>#DIV/0!</v>
      </c>
      <c r="I5" s="5"/>
      <c r="J5" s="5"/>
    </row>
    <row r="6" spans="1:15" x14ac:dyDescent="0.2">
      <c r="A6" s="5">
        <v>9</v>
      </c>
      <c r="B6" s="5">
        <v>101</v>
      </c>
      <c r="C6" s="5">
        <v>88</v>
      </c>
      <c r="D6" s="5">
        <f t="shared" si="0"/>
        <v>87.128712871287135</v>
      </c>
      <c r="E6" s="5">
        <v>77</v>
      </c>
      <c r="F6" s="5">
        <f t="shared" si="1"/>
        <v>87.5</v>
      </c>
      <c r="G6" s="5">
        <v>75</v>
      </c>
      <c r="H6" s="5">
        <f t="shared" si="2"/>
        <v>97.402597402597408</v>
      </c>
      <c r="I6" s="5" t="s">
        <v>0</v>
      </c>
      <c r="J6" s="5" t="e">
        <f t="shared" ref="J6:J10" si="3">I6/G6*100</f>
        <v>#VALUE!</v>
      </c>
    </row>
    <row r="7" spans="1:15" x14ac:dyDescent="0.2">
      <c r="A7" s="5">
        <v>14</v>
      </c>
      <c r="B7" s="5">
        <v>126</v>
      </c>
      <c r="C7" s="5">
        <v>126</v>
      </c>
      <c r="D7" s="5">
        <f t="shared" si="0"/>
        <v>100</v>
      </c>
      <c r="E7" s="5"/>
      <c r="F7" s="5">
        <f t="shared" si="1"/>
        <v>0</v>
      </c>
      <c r="G7" s="5">
        <v>98</v>
      </c>
      <c r="H7" s="5" t="e">
        <f t="shared" si="2"/>
        <v>#DIV/0!</v>
      </c>
      <c r="I7" s="5" t="s">
        <v>0</v>
      </c>
      <c r="J7" s="5" t="e">
        <f t="shared" si="3"/>
        <v>#VALUE!</v>
      </c>
    </row>
    <row r="8" spans="1:15" x14ac:dyDescent="0.2">
      <c r="A8" s="5">
        <v>15</v>
      </c>
      <c r="B8" s="5">
        <v>121</v>
      </c>
      <c r="C8" s="5">
        <v>116</v>
      </c>
      <c r="D8" s="5">
        <f t="shared" si="0"/>
        <v>95.867768595041326</v>
      </c>
      <c r="E8" s="5">
        <v>82</v>
      </c>
      <c r="F8" s="5">
        <f t="shared" si="1"/>
        <v>70.689655172413794</v>
      </c>
      <c r="G8" s="5">
        <v>67</v>
      </c>
      <c r="H8" s="5">
        <f t="shared" si="2"/>
        <v>81.707317073170728</v>
      </c>
      <c r="I8" s="5">
        <v>24</v>
      </c>
      <c r="J8" s="5">
        <f t="shared" si="3"/>
        <v>35.820895522388057</v>
      </c>
    </row>
    <row r="9" spans="1:15" x14ac:dyDescent="0.2">
      <c r="A9" s="5">
        <v>22</v>
      </c>
      <c r="B9" s="5">
        <v>33</v>
      </c>
      <c r="C9" s="5">
        <v>31</v>
      </c>
      <c r="D9" s="5">
        <f t="shared" si="0"/>
        <v>93.939393939393938</v>
      </c>
      <c r="E9" s="5"/>
      <c r="F9" s="5">
        <f t="shared" si="1"/>
        <v>0</v>
      </c>
      <c r="G9" s="5">
        <v>25</v>
      </c>
      <c r="H9" s="5" t="e">
        <f t="shared" si="2"/>
        <v>#DIV/0!</v>
      </c>
      <c r="I9" s="5">
        <v>13</v>
      </c>
      <c r="J9" s="5">
        <f t="shared" si="3"/>
        <v>52</v>
      </c>
    </row>
    <row r="10" spans="1:15" x14ac:dyDescent="0.2">
      <c r="A10" s="5">
        <v>23</v>
      </c>
      <c r="B10" s="5">
        <v>34</v>
      </c>
      <c r="C10" s="5">
        <v>26</v>
      </c>
      <c r="D10" s="5">
        <f t="shared" si="0"/>
        <v>76.470588235294116</v>
      </c>
      <c r="E10" s="5"/>
      <c r="F10" s="5">
        <f t="shared" si="1"/>
        <v>0</v>
      </c>
      <c r="G10" s="5">
        <v>24</v>
      </c>
      <c r="H10" s="5" t="e">
        <f t="shared" si="2"/>
        <v>#DIV/0!</v>
      </c>
      <c r="I10" s="5" t="s">
        <v>0</v>
      </c>
      <c r="J10" s="5" t="e">
        <f t="shared" si="3"/>
        <v>#VALUE!</v>
      </c>
    </row>
    <row r="11" spans="1:15" x14ac:dyDescent="0.2">
      <c r="A11" s="5">
        <v>24</v>
      </c>
      <c r="B11" s="5">
        <v>32</v>
      </c>
      <c r="C11" s="5">
        <v>29</v>
      </c>
      <c r="D11" s="5">
        <f t="shared" si="0"/>
        <v>90.625</v>
      </c>
      <c r="E11" s="5">
        <v>27</v>
      </c>
      <c r="F11" s="5">
        <f t="shared" si="1"/>
        <v>93.103448275862064</v>
      </c>
      <c r="G11" s="5">
        <v>21</v>
      </c>
      <c r="H11" s="5">
        <f t="shared" si="2"/>
        <v>77.777777777777786</v>
      </c>
      <c r="I11" s="5" t="s">
        <v>0</v>
      </c>
      <c r="J11" s="5"/>
    </row>
    <row r="12" spans="1:15" x14ac:dyDescent="0.2">
      <c r="A12" s="5">
        <v>25</v>
      </c>
      <c r="B12" s="5">
        <v>31</v>
      </c>
      <c r="C12" s="5">
        <v>11</v>
      </c>
      <c r="D12" s="5">
        <f t="shared" si="0"/>
        <v>35.483870967741936</v>
      </c>
      <c r="E12" s="5"/>
      <c r="F12" s="5">
        <f t="shared" si="1"/>
        <v>0</v>
      </c>
      <c r="G12" s="5">
        <v>11</v>
      </c>
      <c r="H12" s="5" t="e">
        <f t="shared" si="2"/>
        <v>#DIV/0!</v>
      </c>
      <c r="I12" s="5" t="s">
        <v>0</v>
      </c>
      <c r="J12" s="5"/>
    </row>
    <row r="13" spans="1:15" x14ac:dyDescent="0.2">
      <c r="A13" s="5">
        <v>29</v>
      </c>
      <c r="B13" s="5">
        <v>75</v>
      </c>
      <c r="C13" s="5">
        <v>72</v>
      </c>
      <c r="D13" s="5">
        <f t="shared" si="0"/>
        <v>96</v>
      </c>
      <c r="E13" s="5">
        <v>49</v>
      </c>
      <c r="F13" s="5">
        <f t="shared" si="1"/>
        <v>68.055555555555557</v>
      </c>
      <c r="G13" s="5">
        <v>56</v>
      </c>
      <c r="H13" s="5">
        <f t="shared" si="2"/>
        <v>114.28571428571428</v>
      </c>
      <c r="I13" s="5" t="s">
        <v>0</v>
      </c>
      <c r="J13" s="5"/>
    </row>
    <row r="16" spans="1:15" x14ac:dyDescent="0.2">
      <c r="D16" t="str">
        <f>C3&amp;" ("&amp;ROUND(D3,1)&amp;")"</f>
        <v>488 (98.4)</v>
      </c>
      <c r="F16" t="str">
        <f>E3&amp;" ("&amp;ROUND(F3,1)&amp;")"</f>
        <v xml:space="preserve"> (0)</v>
      </c>
      <c r="H16" t="e">
        <f>G3&amp;" ("&amp;ROUND(H3,1)&amp;")"</f>
        <v>#DIV/0!</v>
      </c>
      <c r="J16" t="str">
        <f>I3&amp;" ("&amp;ROUND(J3,1)&amp;")"</f>
        <v xml:space="preserve"> (0)</v>
      </c>
      <c r="N16">
        <f>G3/C3*100</f>
        <v>51.844262295081968</v>
      </c>
      <c r="O16" t="str">
        <f>G3&amp;" ("&amp;ROUND(N16,1)&amp;")"</f>
        <v>253 (51.8)</v>
      </c>
    </row>
    <row r="17" spans="4:15" x14ac:dyDescent="0.2">
      <c r="D17" t="str">
        <f>C4&amp;" ("&amp;ROUND(D4,1)&amp;")"</f>
        <v>182 (50.8)</v>
      </c>
      <c r="F17" t="str">
        <f>E4&amp;" ("&amp;ROUND(F4,1)&amp;")"</f>
        <v>132 (72.5)</v>
      </c>
      <c r="H17" t="str">
        <f>G4&amp;" ("&amp;ROUND(H4,1)&amp;")"</f>
        <v>125 (94.7)</v>
      </c>
      <c r="J17" t="str">
        <f>I4&amp;" ("&amp;ROUND(J4,1)&amp;")"</f>
        <v>92 (73.6)</v>
      </c>
      <c r="N17">
        <f t="shared" ref="N17:N26" si="4">G4/C4*100</f>
        <v>68.681318681318686</v>
      </c>
      <c r="O17" t="str">
        <f>G4&amp;" ("&amp;ROUND(N17,1)&amp;")"</f>
        <v>125 (68.7)</v>
      </c>
    </row>
    <row r="18" spans="4:15" x14ac:dyDescent="0.2">
      <c r="D18" t="str">
        <f t="shared" ref="D18:D26" si="5">C5&amp;" ("&amp;ROUND(D5,1)&amp;")"</f>
        <v>124 (80.5)</v>
      </c>
      <c r="F18" t="str">
        <f t="shared" ref="F18:F26" si="6">E5&amp;" ("&amp;ROUND(F5,1)&amp;")"</f>
        <v xml:space="preserve"> (0)</v>
      </c>
      <c r="H18" t="e">
        <f t="shared" ref="H18:H26" si="7">G5&amp;" ("&amp;ROUND(H5,1)&amp;")"</f>
        <v>#DIV/0!</v>
      </c>
      <c r="J18" t="str">
        <f t="shared" ref="J18:J26" si="8">I5&amp;" ("&amp;ROUND(J5,1)&amp;")"</f>
        <v xml:space="preserve"> (0)</v>
      </c>
      <c r="N18">
        <f t="shared" si="4"/>
        <v>56.451612903225815</v>
      </c>
      <c r="O18" t="str">
        <f>G5&amp;" ("&amp;ROUND(N18,1)&amp;")"</f>
        <v>70 (56.5)</v>
      </c>
    </row>
    <row r="19" spans="4:15" x14ac:dyDescent="0.2">
      <c r="D19" t="str">
        <f t="shared" si="5"/>
        <v>88 (87.1)</v>
      </c>
      <c r="F19" t="str">
        <f t="shared" si="6"/>
        <v>77 (87.5)</v>
      </c>
      <c r="H19" t="str">
        <f t="shared" si="7"/>
        <v>75 (97.4)</v>
      </c>
      <c r="J19" t="e">
        <f t="shared" si="8"/>
        <v>#VALUE!</v>
      </c>
      <c r="N19">
        <f t="shared" si="4"/>
        <v>85.227272727272734</v>
      </c>
      <c r="O19" t="str">
        <f>G6&amp;" ("&amp;ROUND(N19,1)&amp;")"</f>
        <v>75 (85.2)</v>
      </c>
    </row>
    <row r="20" spans="4:15" x14ac:dyDescent="0.2">
      <c r="D20" t="str">
        <f t="shared" si="5"/>
        <v>126 (100)</v>
      </c>
      <c r="F20" t="str">
        <f t="shared" si="6"/>
        <v xml:space="preserve"> (0)</v>
      </c>
      <c r="H20" t="e">
        <f t="shared" si="7"/>
        <v>#DIV/0!</v>
      </c>
      <c r="J20" t="e">
        <f t="shared" si="8"/>
        <v>#VALUE!</v>
      </c>
      <c r="N20">
        <f t="shared" si="4"/>
        <v>77.777777777777786</v>
      </c>
      <c r="O20" t="str">
        <f>G7&amp;" ("&amp;ROUND(N20,1)&amp;")"</f>
        <v>98 (77.8)</v>
      </c>
    </row>
    <row r="21" spans="4:15" x14ac:dyDescent="0.2">
      <c r="D21" t="str">
        <f t="shared" si="5"/>
        <v>116 (95.9)</v>
      </c>
      <c r="F21" t="str">
        <f t="shared" si="6"/>
        <v>82 (70.7)</v>
      </c>
      <c r="H21" t="str">
        <f t="shared" si="7"/>
        <v>67 (81.7)</v>
      </c>
      <c r="J21" t="str">
        <f t="shared" si="8"/>
        <v>24 (35.8)</v>
      </c>
      <c r="N21">
        <f t="shared" si="4"/>
        <v>57.758620689655174</v>
      </c>
      <c r="O21" t="str">
        <f>G8&amp;" ("&amp;ROUND(N21,1)&amp;")"</f>
        <v>67 (57.8)</v>
      </c>
    </row>
    <row r="22" spans="4:15" x14ac:dyDescent="0.2">
      <c r="D22" t="str">
        <f t="shared" si="5"/>
        <v>31 (93.9)</v>
      </c>
      <c r="F22" t="str">
        <f t="shared" si="6"/>
        <v xml:space="preserve"> (0)</v>
      </c>
      <c r="H22" t="e">
        <f t="shared" si="7"/>
        <v>#DIV/0!</v>
      </c>
      <c r="J22" t="str">
        <f t="shared" si="8"/>
        <v>13 (52)</v>
      </c>
      <c r="N22">
        <f t="shared" si="4"/>
        <v>80.645161290322577</v>
      </c>
      <c r="O22" t="str">
        <f>G9&amp;" ("&amp;ROUND(N22,1)&amp;")"</f>
        <v>25 (80.6)</v>
      </c>
    </row>
    <row r="23" spans="4:15" x14ac:dyDescent="0.2">
      <c r="D23" t="str">
        <f t="shared" si="5"/>
        <v>26 (76.5)</v>
      </c>
      <c r="F23" t="str">
        <f t="shared" si="6"/>
        <v xml:space="preserve"> (0)</v>
      </c>
      <c r="H23" t="e">
        <f t="shared" si="7"/>
        <v>#DIV/0!</v>
      </c>
      <c r="J23" t="e">
        <f t="shared" si="8"/>
        <v>#VALUE!</v>
      </c>
      <c r="N23">
        <f t="shared" si="4"/>
        <v>92.307692307692307</v>
      </c>
      <c r="O23" t="str">
        <f>G10&amp;" ("&amp;ROUND(N23,1)&amp;")"</f>
        <v>24 (92.3)</v>
      </c>
    </row>
    <row r="24" spans="4:15" x14ac:dyDescent="0.2">
      <c r="D24" t="str">
        <f t="shared" si="5"/>
        <v>29 (90.6)</v>
      </c>
      <c r="F24" t="str">
        <f t="shared" si="6"/>
        <v>27 (93.1)</v>
      </c>
      <c r="H24" t="str">
        <f t="shared" si="7"/>
        <v>21 (77.8)</v>
      </c>
      <c r="J24" t="str">
        <f t="shared" si="8"/>
        <v>n.a. (0)</v>
      </c>
      <c r="N24">
        <f t="shared" si="4"/>
        <v>72.41379310344827</v>
      </c>
      <c r="O24" t="str">
        <f>G11&amp;" ("&amp;ROUND(N24,1)&amp;")"</f>
        <v>21 (72.4)</v>
      </c>
    </row>
    <row r="25" spans="4:15" x14ac:dyDescent="0.2">
      <c r="D25" t="str">
        <f t="shared" si="5"/>
        <v>11 (35.5)</v>
      </c>
      <c r="F25" t="str">
        <f t="shared" si="6"/>
        <v xml:space="preserve"> (0)</v>
      </c>
      <c r="H25" t="e">
        <f t="shared" si="7"/>
        <v>#DIV/0!</v>
      </c>
      <c r="J25" t="str">
        <f t="shared" si="8"/>
        <v>n.a. (0)</v>
      </c>
      <c r="N25">
        <f t="shared" si="4"/>
        <v>100</v>
      </c>
      <c r="O25" t="str">
        <f>G12&amp;" ("&amp;ROUND(N25,1)&amp;")"</f>
        <v>11 (100)</v>
      </c>
    </row>
    <row r="26" spans="4:15" x14ac:dyDescent="0.2">
      <c r="D26" t="str">
        <f t="shared" si="5"/>
        <v>72 (96)</v>
      </c>
      <c r="F26" t="str">
        <f t="shared" si="6"/>
        <v>49 (68.1)</v>
      </c>
      <c r="H26" t="str">
        <f t="shared" si="7"/>
        <v>56 (114.3)</v>
      </c>
      <c r="J26" t="str">
        <f t="shared" si="8"/>
        <v>n.a. (0)</v>
      </c>
      <c r="N26">
        <f t="shared" si="4"/>
        <v>77.777777777777786</v>
      </c>
      <c r="O26" t="str">
        <f>G13&amp;" ("&amp;ROUND(N26,1)&amp;")"</f>
        <v>56 (77.8)</v>
      </c>
    </row>
    <row r="29" spans="4:15" ht="17" thickBot="1" x14ac:dyDescent="0.25"/>
    <row r="30" spans="4:15" ht="17" thickBot="1" x14ac:dyDescent="0.25">
      <c r="H30" s="1">
        <v>358</v>
      </c>
      <c r="O30">
        <f>1293/1561</f>
        <v>0.82831518257527226</v>
      </c>
    </row>
    <row r="31" spans="4:15" ht="17" thickBot="1" x14ac:dyDescent="0.25">
      <c r="H31" s="2">
        <v>154</v>
      </c>
      <c r="O31">
        <f>825/1293</f>
        <v>0.63805104408352664</v>
      </c>
    </row>
    <row r="32" spans="4:15" ht="17" thickBot="1" x14ac:dyDescent="0.25">
      <c r="H32" s="3">
        <v>101</v>
      </c>
    </row>
    <row r="33" spans="8:8" ht="17" thickBot="1" x14ac:dyDescent="0.25">
      <c r="H33" s="3">
        <v>126</v>
      </c>
    </row>
    <row r="34" spans="8:8" ht="17" thickBot="1" x14ac:dyDescent="0.25">
      <c r="H34" s="2">
        <v>121</v>
      </c>
    </row>
    <row r="35" spans="8:8" ht="17" thickBot="1" x14ac:dyDescent="0.25">
      <c r="H35" s="3">
        <v>33</v>
      </c>
    </row>
    <row r="36" spans="8:8" ht="17" thickBot="1" x14ac:dyDescent="0.25">
      <c r="H36" s="3">
        <v>34</v>
      </c>
    </row>
    <row r="37" spans="8:8" ht="17" thickBot="1" x14ac:dyDescent="0.25">
      <c r="H37" s="2">
        <v>32</v>
      </c>
    </row>
    <row r="38" spans="8:8" ht="17" thickBot="1" x14ac:dyDescent="0.25">
      <c r="H38" s="2">
        <v>31</v>
      </c>
    </row>
    <row r="39" spans="8:8" ht="17" thickBot="1" x14ac:dyDescent="0.25">
      <c r="H39" s="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Sydney Fine</cp:lastModifiedBy>
  <dcterms:created xsi:type="dcterms:W3CDTF">2025-11-05T20:31:03Z</dcterms:created>
  <dcterms:modified xsi:type="dcterms:W3CDTF">2025-12-08T15:36:31Z</dcterms:modified>
</cp:coreProperties>
</file>