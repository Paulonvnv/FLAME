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"/>
    </mc:Choice>
  </mc:AlternateContent>
  <xr:revisionPtr revIDLastSave="0" documentId="13_ncr:1_{76054C0C-1056-0C43-A208-537AD1EC9F65}" xr6:coauthVersionLast="47" xr6:coauthVersionMax="47" xr10:uidLastSave="{00000000-0000-0000-0000-000000000000}"/>
  <bookViews>
    <workbookView xWindow="0" yWindow="1600" windowWidth="29400" windowHeight="16100" activeTab="2" xr2:uid="{00000000-000D-0000-FFFF-FFFF00000000}"/>
  </bookViews>
  <sheets>
    <sheet name="Raw refusals_&quot;other&quot; collapsed" sheetId="3" r:id="rId1"/>
    <sheet name="Raw refusals_&quot;other&quot; expanded" sheetId="1" r:id="rId2"/>
    <sheet name="Recoded refusal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4" i="2" l="1"/>
  <c r="BO24" i="2"/>
  <c r="BG24" i="2"/>
  <c r="BC24" i="2"/>
  <c r="BC23" i="2"/>
  <c r="BD23" i="2"/>
  <c r="AZ24" i="2"/>
  <c r="W24" i="2"/>
  <c r="J24" i="2"/>
  <c r="H24" i="2"/>
  <c r="C23" i="2"/>
  <c r="D23" i="2"/>
  <c r="E23" i="2"/>
  <c r="F23" i="2"/>
  <c r="G23" i="2"/>
  <c r="H23" i="2"/>
  <c r="J23" i="2"/>
  <c r="K23" i="2"/>
  <c r="L23" i="2"/>
  <c r="W23" i="2"/>
  <c r="AZ23" i="2"/>
  <c r="BA23" i="2"/>
  <c r="M23" i="2"/>
  <c r="P23" i="2"/>
  <c r="N23" i="2"/>
  <c r="O23" i="2"/>
  <c r="BE23" i="2"/>
  <c r="BF23" i="2"/>
  <c r="Q23" i="2"/>
  <c r="X23" i="2"/>
  <c r="Y23" i="2"/>
  <c r="BH23" i="2"/>
  <c r="BN23" i="2"/>
  <c r="AV23" i="2"/>
  <c r="Z23" i="2"/>
  <c r="I23" i="2"/>
  <c r="BG23" i="2"/>
  <c r="AY23" i="2"/>
  <c r="BB23" i="2"/>
  <c r="BY23" i="2"/>
  <c r="BP23" i="2"/>
  <c r="BQ23" i="2"/>
  <c r="CA23" i="2"/>
  <c r="AA23" i="2"/>
  <c r="AB23" i="2"/>
  <c r="AC23" i="2"/>
  <c r="AD23" i="2"/>
  <c r="AI23" i="2"/>
  <c r="AJ23" i="2"/>
  <c r="AK23" i="2"/>
  <c r="BV23" i="2"/>
  <c r="AE23" i="2"/>
  <c r="AF23" i="2"/>
  <c r="AG23" i="2"/>
  <c r="AH23" i="2"/>
  <c r="BM23" i="2"/>
  <c r="R23" i="2"/>
  <c r="S23" i="2"/>
  <c r="T23" i="2"/>
  <c r="U23" i="2"/>
  <c r="V23" i="2"/>
  <c r="BT23" i="2"/>
  <c r="BU23" i="2"/>
  <c r="BZ23" i="2"/>
  <c r="BI23" i="2"/>
  <c r="BJ23" i="2"/>
  <c r="BK23" i="2"/>
  <c r="BL23" i="2"/>
  <c r="AW23" i="2"/>
  <c r="AX23" i="2"/>
  <c r="AL23" i="2"/>
  <c r="AM23" i="2"/>
  <c r="AN23" i="2"/>
  <c r="AO23" i="2"/>
  <c r="AP23" i="2"/>
  <c r="AQ23" i="2"/>
  <c r="BS23" i="2"/>
  <c r="BW23" i="2"/>
  <c r="AU23" i="2"/>
  <c r="BR23" i="2"/>
  <c r="AR23" i="2"/>
  <c r="AS23" i="2"/>
  <c r="AT23" i="2"/>
  <c r="BX23" i="2"/>
  <c r="BO23" i="2"/>
  <c r="B23" i="2"/>
  <c r="H12" i="3"/>
  <c r="C12" i="3"/>
  <c r="D12" i="3"/>
  <c r="E12" i="3"/>
  <c r="F12" i="3"/>
  <c r="G12" i="3"/>
  <c r="B12" i="3"/>
</calcChain>
</file>

<file path=xl/sharedStrings.xml><?xml version="1.0" encoding="utf-8"?>
<sst xmlns="http://schemas.openxmlformats.org/spreadsheetml/2006/main" count="228" uniqueCount="119">
  <si>
    <t>reason_variable</t>
  </si>
  <si>
    <t>Ambos padres biologicos no estan presentes</t>
  </si>
  <si>
    <t>Esta ocupado</t>
  </si>
  <si>
    <t>No tiene DNI a mano</t>
  </si>
  <si>
    <t>No tiene interes de participar en el estudio</t>
  </si>
  <si>
    <t>Otra</t>
  </si>
  <si>
    <t>Tiene menos de 6 meses de edad</t>
  </si>
  <si>
    <t>Creencias religiosas</t>
  </si>
  <si>
    <t>De viaje</t>
  </si>
  <si>
    <t>El padre esta ausente</t>
  </si>
  <si>
    <t>En su chacra</t>
  </si>
  <si>
    <t>En su trabajo</t>
  </si>
  <si>
    <t>Esta de viaje</t>
  </si>
  <si>
    <t>Estudia en Iquitos</t>
  </si>
  <si>
    <t>La esposa se encuentra de viaje , regresa en tres dias despúes de la intervención</t>
  </si>
  <si>
    <t>Menor de 6 meses</t>
  </si>
  <si>
    <t>Menor de edad con Síndrome de Down</t>
  </si>
  <si>
    <t>Menor de edad y la mamá falleció</t>
  </si>
  <si>
    <t>Motivos religiosos</t>
  </si>
  <si>
    <t>No quiso, no dió otro motivo</t>
  </si>
  <si>
    <t>No se encuentra</t>
  </si>
  <si>
    <t>No se encuentran en la comunidad</t>
  </si>
  <si>
    <t>Padre ausente</t>
  </si>
  <si>
    <t>Padre de familia de viaje</t>
  </si>
  <si>
    <t>Padre de menor se encuntra de viaje</t>
  </si>
  <si>
    <t>Padres no desearon que participe hija meyor dentro del proyecto</t>
  </si>
  <si>
    <t>Papa ausente</t>
  </si>
  <si>
    <t>Papá de viaje por motivo de trabajo</t>
  </si>
  <si>
    <t>Persona con habilidades especiales</t>
  </si>
  <si>
    <t>Se fue de viaje</t>
  </si>
  <si>
    <t>Viajara y no regresara</t>
  </si>
  <si>
    <t>Viaje</t>
  </si>
  <si>
    <t>De viaje con su papá</t>
  </si>
  <si>
    <t>El papá no tiene DNI</t>
  </si>
  <si>
    <t>Esposo no se fue de viaje</t>
  </si>
  <si>
    <t>Menor de edad</t>
  </si>
  <si>
    <t>Padre  de menor se encuentra de viaje</t>
  </si>
  <si>
    <t xml:space="preserve">Padre ausente </t>
  </si>
  <si>
    <t>Padre sin DNI</t>
  </si>
  <si>
    <t>Padres no desearon que participe hijo intermedio</t>
  </si>
  <si>
    <t>Papá no está</t>
  </si>
  <si>
    <t>Padre de menor se encuentra de viaje</t>
  </si>
  <si>
    <t>Padres nodesearon que participe hijo menor</t>
  </si>
  <si>
    <t>appr_rfs_rsn_1</t>
  </si>
  <si>
    <t>appr_rfs_rsn_10</t>
  </si>
  <si>
    <t>appr_rfs_rsn_2</t>
  </si>
  <si>
    <t>appr_rfs_rsn_3</t>
  </si>
  <si>
    <t>appr_rfs_rsn_4</t>
  </si>
  <si>
    <t>appr_rfs_rsn_5</t>
  </si>
  <si>
    <t>appr_rfs_rsn_6</t>
  </si>
  <si>
    <t>appr_rfs_rsn_7</t>
  </si>
  <si>
    <t>appr_rfs_rsn_8</t>
  </si>
  <si>
    <t>appr_rfs_rsn_9</t>
  </si>
  <si>
    <t>appr_rfs_rsn_other_1</t>
  </si>
  <si>
    <t>appr_rfs_rsn_other_10</t>
  </si>
  <si>
    <t>appr_rfs_rsn_other_2</t>
  </si>
  <si>
    <t>appr_rfs_rsn_other_3</t>
  </si>
  <si>
    <t>appr_rfs_rsn_other_4</t>
  </si>
  <si>
    <t>appr_rfs_rsn_other_5</t>
  </si>
  <si>
    <t>appr_rfs_rsn_other_6</t>
  </si>
  <si>
    <t>appr_rfs_rsn_other_7</t>
  </si>
  <si>
    <t>appr_rfs_rsn_other_8</t>
  </si>
  <si>
    <t>appr_rfs_rsn_other_9</t>
  </si>
  <si>
    <t>Don't have DNI on hand</t>
  </si>
  <si>
    <t>Currently busy</t>
  </si>
  <si>
    <t>Both biological parents aren't present</t>
  </si>
  <si>
    <t>No interest in participating</t>
  </si>
  <si>
    <t>Younger than 6 mo old</t>
  </si>
  <si>
    <t>Other</t>
  </si>
  <si>
    <t>Totals</t>
  </si>
  <si>
    <t>De viaje por motivo de trabajo</t>
  </si>
  <si>
    <t xml:space="preserve">El jefe del hogar se encuentra de viaje por un mes </t>
  </si>
  <si>
    <t>Enfermedad</t>
  </si>
  <si>
    <t>Enfermedad congénita</t>
  </si>
  <si>
    <t>Esta en el centro de la ciudad de Iquitos</t>
  </si>
  <si>
    <t>Esta en iquitos</t>
  </si>
  <si>
    <t>Estan en iquitos</t>
  </si>
  <si>
    <t>Hija mayor se encuentra en la ciudad estudiando</t>
  </si>
  <si>
    <t>Madre ausente</t>
  </si>
  <si>
    <t>Madre fallecida</t>
  </si>
  <si>
    <t>Menor de edad que no vive con su mamá</t>
  </si>
  <si>
    <t>Niño de un mes</t>
  </si>
  <si>
    <t>No es padre biologico del menor</t>
  </si>
  <si>
    <t>No está en casa por motivo de trabajo</t>
  </si>
  <si>
    <t>No tramito nunca su dni</t>
  </si>
  <si>
    <t>No vive con el padre biológico</t>
  </si>
  <si>
    <t>Padre Ausente</t>
  </si>
  <si>
    <t>Padre biologico ausente</t>
  </si>
  <si>
    <t>Padre se encuentra fuera de la comunidad</t>
  </si>
  <si>
    <t>Papá fallecio</t>
  </si>
  <si>
    <t>Papá no está en casa por motivo de trabajo</t>
  </si>
  <si>
    <t>Viaje a otra ciudad</t>
  </si>
  <si>
    <t>El padre no tiene DNI</t>
  </si>
  <si>
    <t>Hija menor de edad</t>
  </si>
  <si>
    <t>Hijo menor de edad</t>
  </si>
  <si>
    <t xml:space="preserve">Menor de edad </t>
  </si>
  <si>
    <t>Menor de edad que no vive con su papá</t>
  </si>
  <si>
    <t>Menor de edad sin mamá</t>
  </si>
  <si>
    <t>No es el padre biológico</t>
  </si>
  <si>
    <t>No se encuntra el padre de la menor</t>
  </si>
  <si>
    <t>No vive com su padre biológico</t>
  </si>
  <si>
    <t>Padre del menor esta de viaje</t>
  </si>
  <si>
    <t>No estaba en casa</t>
  </si>
  <si>
    <t>No se encuentra el padre del menor</t>
  </si>
  <si>
    <t>No vive con su padre biólogico</t>
  </si>
  <si>
    <t xml:space="preserve">Se encuentra fuera de la comunidad . </t>
  </si>
  <si>
    <t>RELIGION</t>
  </si>
  <si>
    <t>VIAJE</t>
  </si>
  <si>
    <t>UNOS DE LOS 2 PADRES BIOLOGICOS NO ESTA PRESENTE</t>
  </si>
  <si>
    <t>TRABAJO</t>
  </si>
  <si>
    <t>ENFERMEDAD</t>
  </si>
  <si>
    <t>ESTUDIOS</t>
  </si>
  <si>
    <t>MENOS DE 6 MESES</t>
  </si>
  <si>
    <t>HABILIDADES ESPECIALES</t>
  </si>
  <si>
    <t>NO SE ENCUENTRA</t>
  </si>
  <si>
    <t>PADRE SIN DNI</t>
  </si>
  <si>
    <t>PADRE NO DESEA QUE PARTICIPE SU HIJO</t>
  </si>
  <si>
    <t>NO QUIERE PARTICIPAR</t>
  </si>
  <si>
    <t>Padre o madre ausente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</si>
</sst>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Lucida Grande"/>
      <family val="2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Lucida Grande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2" borderId="2" xfId="0" applyFill="1" applyBorder="1" applyAlignment="1">
      <alignment wrapText="1"/>
    </xf>
    <xf numFmtId="0" fontId="0" fillId="0" borderId="2" xfId="0" applyBorder="1"/>
    <xf numFmtId="0" fontId="0" fillId="4" borderId="2" xfId="0" applyFill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0" fillId="4" borderId="0" xfId="0" applyFill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0828-9467-514F-AC01-0E7508507978}">
  <dimension ref="A1:L29"/>
  <sheetViews>
    <sheetView workbookViewId="0">
      <selection activeCell="B1" sqref="B1:F1"/>
    </sheetView>
  </sheetViews>
  <sheetFormatPr baseColWidth="10" defaultRowHeight="15" x14ac:dyDescent="0.2"/>
  <cols>
    <col min="1" max="1" width="16.33203125" bestFit="1" customWidth="1"/>
    <col min="4" max="4" width="16.1640625" customWidth="1"/>
    <col min="5" max="5" width="13" customWidth="1"/>
    <col min="8" max="8" width="10.83203125" style="17"/>
  </cols>
  <sheetData>
    <row r="1" spans="1:12" s="18" customFormat="1" ht="51" x14ac:dyDescent="0.2">
      <c r="A1" s="16"/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  <c r="G1" s="16" t="s">
        <v>68</v>
      </c>
      <c r="H1" s="16"/>
      <c r="J1" s="16"/>
      <c r="K1" s="16"/>
      <c r="L1" s="16"/>
    </row>
    <row r="2" spans="1:12" ht="16" x14ac:dyDescent="0.2">
      <c r="A2" s="10" t="s">
        <v>43</v>
      </c>
      <c r="B2" s="10">
        <v>21</v>
      </c>
      <c r="C2" s="10">
        <v>14</v>
      </c>
      <c r="D2" s="10">
        <v>34</v>
      </c>
      <c r="E2" s="10">
        <v>24</v>
      </c>
      <c r="F2" s="10">
        <v>2</v>
      </c>
      <c r="G2" s="10">
        <v>68</v>
      </c>
      <c r="H2" s="19"/>
      <c r="J2" s="11"/>
      <c r="K2" s="11"/>
      <c r="L2" s="11"/>
    </row>
    <row r="3" spans="1:12" ht="16" x14ac:dyDescent="0.2">
      <c r="A3" s="10" t="s">
        <v>45</v>
      </c>
      <c r="B3" s="10">
        <v>7</v>
      </c>
      <c r="C3" s="10">
        <v>4</v>
      </c>
      <c r="D3" s="10">
        <v>28</v>
      </c>
      <c r="E3" s="10">
        <v>11</v>
      </c>
      <c r="F3" s="10">
        <v>0</v>
      </c>
      <c r="G3" s="10">
        <v>47</v>
      </c>
      <c r="H3"/>
      <c r="I3" s="10"/>
      <c r="J3" s="11"/>
      <c r="K3" s="11"/>
    </row>
    <row r="4" spans="1:12" ht="16" x14ac:dyDescent="0.2">
      <c r="A4" s="10" t="s">
        <v>46</v>
      </c>
      <c r="B4" s="10">
        <v>3</v>
      </c>
      <c r="C4" s="10">
        <v>2</v>
      </c>
      <c r="D4" s="10">
        <v>16</v>
      </c>
      <c r="E4" s="10">
        <v>10</v>
      </c>
      <c r="F4" s="10">
        <v>0</v>
      </c>
      <c r="G4" s="10">
        <v>32</v>
      </c>
      <c r="H4"/>
      <c r="I4" s="10"/>
      <c r="J4" s="11"/>
      <c r="K4" s="11"/>
    </row>
    <row r="5" spans="1:12" ht="16" x14ac:dyDescent="0.2">
      <c r="A5" s="10" t="s">
        <v>47</v>
      </c>
      <c r="B5" s="10">
        <v>1</v>
      </c>
      <c r="C5" s="10">
        <v>0</v>
      </c>
      <c r="D5" s="10">
        <v>11</v>
      </c>
      <c r="E5" s="10">
        <v>9</v>
      </c>
      <c r="F5" s="10">
        <v>0</v>
      </c>
      <c r="G5" s="10">
        <v>15</v>
      </c>
      <c r="H5"/>
      <c r="I5" s="10"/>
      <c r="J5" s="11"/>
      <c r="K5" s="11"/>
    </row>
    <row r="6" spans="1:12" ht="16" x14ac:dyDescent="0.2">
      <c r="A6" s="10" t="s">
        <v>48</v>
      </c>
      <c r="B6" s="10">
        <v>1</v>
      </c>
      <c r="C6" s="10">
        <v>0</v>
      </c>
      <c r="D6" s="10">
        <v>7</v>
      </c>
      <c r="E6" s="10">
        <v>6</v>
      </c>
      <c r="F6" s="10">
        <v>1</v>
      </c>
      <c r="G6" s="10">
        <v>6</v>
      </c>
      <c r="H6"/>
      <c r="I6" s="10"/>
      <c r="J6" s="11"/>
      <c r="K6" s="11"/>
    </row>
    <row r="7" spans="1:12" ht="16" x14ac:dyDescent="0.2">
      <c r="A7" s="10" t="s">
        <v>49</v>
      </c>
      <c r="B7" s="10">
        <v>0</v>
      </c>
      <c r="C7" s="10">
        <v>0</v>
      </c>
      <c r="D7" s="10">
        <v>4</v>
      </c>
      <c r="E7" s="10">
        <v>3</v>
      </c>
      <c r="F7" s="10">
        <v>0</v>
      </c>
      <c r="G7" s="10">
        <v>5</v>
      </c>
      <c r="H7"/>
      <c r="I7" s="10"/>
      <c r="J7" s="11"/>
      <c r="K7" s="11"/>
    </row>
    <row r="8" spans="1:12" ht="16" x14ac:dyDescent="0.2">
      <c r="A8" s="10" t="s">
        <v>50</v>
      </c>
      <c r="B8" s="10">
        <v>0</v>
      </c>
      <c r="C8" s="10">
        <v>0</v>
      </c>
      <c r="D8" s="10">
        <v>0</v>
      </c>
      <c r="E8" s="10">
        <v>2</v>
      </c>
      <c r="F8" s="10">
        <v>0</v>
      </c>
      <c r="G8" s="10">
        <v>2</v>
      </c>
      <c r="H8"/>
      <c r="I8" s="10"/>
      <c r="J8" s="11"/>
      <c r="K8" s="11"/>
    </row>
    <row r="9" spans="1:12" ht="16" x14ac:dyDescent="0.2">
      <c r="A9" s="10" t="s">
        <v>51</v>
      </c>
      <c r="B9" s="10">
        <v>0</v>
      </c>
      <c r="C9" s="10">
        <v>0</v>
      </c>
      <c r="D9" s="10">
        <v>0</v>
      </c>
      <c r="E9" s="10">
        <v>1</v>
      </c>
      <c r="F9" s="10">
        <v>0</v>
      </c>
      <c r="G9" s="10">
        <v>1</v>
      </c>
      <c r="H9"/>
      <c r="I9" s="10"/>
      <c r="J9" s="11"/>
      <c r="K9" s="11"/>
    </row>
    <row r="10" spans="1:12" ht="16" x14ac:dyDescent="0.2">
      <c r="A10" s="10" t="s">
        <v>52</v>
      </c>
      <c r="B10" s="10">
        <v>0</v>
      </c>
      <c r="C10" s="10">
        <v>0</v>
      </c>
      <c r="D10" s="10">
        <v>0</v>
      </c>
      <c r="E10" s="10">
        <v>1</v>
      </c>
      <c r="F10" s="10">
        <v>0</v>
      </c>
      <c r="G10" s="10">
        <v>1</v>
      </c>
      <c r="H10"/>
      <c r="I10" s="11"/>
      <c r="J10" s="11"/>
      <c r="K10" s="11"/>
    </row>
    <row r="11" spans="1:12" ht="16" x14ac:dyDescent="0.2">
      <c r="A11" s="10" t="s">
        <v>44</v>
      </c>
      <c r="B11" s="10">
        <v>0</v>
      </c>
      <c r="C11" s="10">
        <v>0</v>
      </c>
      <c r="D11" s="10">
        <v>0</v>
      </c>
      <c r="E11" s="10">
        <v>1</v>
      </c>
      <c r="F11" s="10">
        <v>0</v>
      </c>
      <c r="G11" s="10">
        <v>1</v>
      </c>
      <c r="H11"/>
      <c r="I11" s="10"/>
      <c r="J11" s="11"/>
      <c r="K11" s="11"/>
    </row>
    <row r="12" spans="1:12" s="15" customFormat="1" ht="21" x14ac:dyDescent="0.25">
      <c r="A12" s="12" t="s">
        <v>69</v>
      </c>
      <c r="B12" s="13">
        <f>SUM(B2:B11)</f>
        <v>33</v>
      </c>
      <c r="C12" s="13">
        <f t="shared" ref="C12:G12" si="0">SUM(C2:C11)</f>
        <v>20</v>
      </c>
      <c r="D12" s="13">
        <f t="shared" si="0"/>
        <v>100</v>
      </c>
      <c r="E12" s="13">
        <f t="shared" si="0"/>
        <v>68</v>
      </c>
      <c r="F12" s="13">
        <f t="shared" si="0"/>
        <v>3</v>
      </c>
      <c r="G12" s="13">
        <f t="shared" si="0"/>
        <v>178</v>
      </c>
      <c r="H12" s="14">
        <f>SUM(B12:G12)</f>
        <v>402</v>
      </c>
      <c r="J12" s="14"/>
      <c r="K12" s="12"/>
      <c r="L12" s="12"/>
    </row>
    <row r="13" spans="1:12" ht="16" x14ac:dyDescent="0.2">
      <c r="A13" s="11"/>
      <c r="B13" s="11"/>
      <c r="C13" s="11"/>
      <c r="D13" s="11"/>
      <c r="E13" s="11"/>
      <c r="F13" s="11"/>
      <c r="G13" s="11"/>
      <c r="H13" s="12"/>
      <c r="J13" s="11"/>
      <c r="K13" s="11"/>
      <c r="L13" s="11"/>
    </row>
    <row r="14" spans="1:12" ht="16" x14ac:dyDescent="0.2">
      <c r="A14" s="11"/>
      <c r="B14" s="11"/>
      <c r="C14" s="11"/>
      <c r="D14" s="11"/>
      <c r="E14" s="11"/>
      <c r="F14" s="11"/>
      <c r="G14" s="11"/>
      <c r="H14" s="12"/>
      <c r="J14" s="11"/>
      <c r="K14" s="11"/>
      <c r="L14" s="11"/>
    </row>
    <row r="15" spans="1:12" ht="16" x14ac:dyDescent="0.2">
      <c r="A15" s="11"/>
      <c r="B15" s="11"/>
      <c r="C15" s="11"/>
      <c r="D15" s="11"/>
      <c r="E15" s="11"/>
      <c r="F15" s="11"/>
      <c r="G15" s="11"/>
      <c r="H15" s="12"/>
      <c r="J15" s="11"/>
      <c r="K15" s="11"/>
      <c r="L15" s="11"/>
    </row>
    <row r="16" spans="1:12" ht="16" x14ac:dyDescent="0.2">
      <c r="A16" s="11"/>
      <c r="B16" s="11"/>
      <c r="C16" s="11"/>
      <c r="D16" s="11"/>
      <c r="E16" s="11"/>
      <c r="F16" s="11"/>
      <c r="G16" s="11"/>
      <c r="H16" s="12"/>
      <c r="J16" s="11"/>
      <c r="K16" s="11"/>
      <c r="L16" s="11"/>
    </row>
    <row r="17" spans="1:12" ht="16" x14ac:dyDescent="0.2">
      <c r="A17" s="11"/>
      <c r="B17" s="11"/>
      <c r="C17" s="11"/>
      <c r="D17" s="11"/>
      <c r="E17" s="11"/>
      <c r="F17" s="11"/>
      <c r="G17" s="11"/>
      <c r="H17" s="12"/>
      <c r="J17" s="11"/>
      <c r="K17" s="11"/>
      <c r="L17" s="11"/>
    </row>
    <row r="18" spans="1:12" ht="16" x14ac:dyDescent="0.2">
      <c r="A18" s="11"/>
      <c r="B18" s="11"/>
      <c r="C18" s="11"/>
      <c r="D18" s="11"/>
      <c r="E18" s="11"/>
      <c r="F18" s="11"/>
      <c r="G18" s="11"/>
      <c r="H18" s="12"/>
      <c r="J18" s="11"/>
      <c r="K18" s="11"/>
      <c r="L18" s="11"/>
    </row>
    <row r="19" spans="1:12" ht="16" x14ac:dyDescent="0.2">
      <c r="A19" s="11"/>
      <c r="B19" s="11"/>
      <c r="C19" s="11"/>
      <c r="D19" s="11"/>
      <c r="E19" s="11"/>
      <c r="F19" s="11"/>
      <c r="G19" s="11"/>
      <c r="H19" s="12"/>
      <c r="J19" s="11"/>
      <c r="K19" s="11"/>
      <c r="L19" s="11"/>
    </row>
    <row r="20" spans="1:12" ht="16" x14ac:dyDescent="0.2">
      <c r="A20" s="11"/>
      <c r="B20" s="11"/>
      <c r="C20" s="11"/>
      <c r="D20" s="11"/>
      <c r="E20" s="11"/>
      <c r="F20" s="11"/>
      <c r="G20" s="11"/>
      <c r="H20" s="12"/>
      <c r="J20" s="11"/>
      <c r="K20" s="11"/>
      <c r="L20" s="11"/>
    </row>
    <row r="21" spans="1:12" ht="16" x14ac:dyDescent="0.2">
      <c r="A21" s="11"/>
      <c r="B21" s="11"/>
      <c r="C21" s="11"/>
      <c r="D21" s="11"/>
      <c r="E21" s="11"/>
      <c r="F21" s="11"/>
      <c r="G21" s="11"/>
      <c r="H21" s="12"/>
      <c r="J21" s="11"/>
      <c r="K21" s="11"/>
      <c r="L21" s="11"/>
    </row>
    <row r="22" spans="1:12" ht="16" x14ac:dyDescent="0.2">
      <c r="A22" s="11"/>
      <c r="B22" s="11"/>
      <c r="C22" s="11"/>
      <c r="D22" s="11"/>
      <c r="E22" s="11"/>
      <c r="F22" s="11"/>
      <c r="G22" s="11"/>
      <c r="H22" s="12"/>
      <c r="J22" s="11"/>
      <c r="K22" s="11"/>
      <c r="L22" s="11"/>
    </row>
    <row r="23" spans="1:12" ht="16" x14ac:dyDescent="0.2">
      <c r="A23" s="11"/>
      <c r="B23" s="11"/>
      <c r="C23" s="11"/>
      <c r="D23" s="11"/>
      <c r="E23" s="11"/>
      <c r="F23" s="11"/>
      <c r="G23" s="11"/>
      <c r="H23" s="12"/>
      <c r="J23" s="11"/>
      <c r="K23" s="11"/>
      <c r="L23" s="11"/>
    </row>
    <row r="24" spans="1:12" ht="16" x14ac:dyDescent="0.2">
      <c r="A24" s="11"/>
      <c r="B24" s="11"/>
      <c r="C24" s="11"/>
      <c r="D24" s="11"/>
      <c r="E24" s="11"/>
      <c r="F24" s="11"/>
      <c r="G24" s="11"/>
      <c r="H24" s="12"/>
      <c r="J24" s="11"/>
      <c r="K24" s="11"/>
      <c r="L24" s="11"/>
    </row>
    <row r="25" spans="1:12" ht="16" x14ac:dyDescent="0.2">
      <c r="A25" s="11"/>
      <c r="B25" s="11"/>
      <c r="C25" s="11"/>
      <c r="D25" s="11"/>
      <c r="E25" s="11"/>
      <c r="F25" s="11"/>
      <c r="G25" s="11"/>
      <c r="H25" s="12"/>
      <c r="J25" s="11"/>
      <c r="K25" s="11"/>
      <c r="L25" s="11"/>
    </row>
    <row r="26" spans="1:12" ht="16" x14ac:dyDescent="0.2">
      <c r="A26" s="11"/>
      <c r="B26" s="11"/>
      <c r="C26" s="11"/>
      <c r="D26" s="11"/>
      <c r="E26" s="11"/>
      <c r="F26" s="11"/>
      <c r="G26" s="11"/>
      <c r="H26" s="12"/>
      <c r="J26" s="11"/>
      <c r="K26" s="11"/>
      <c r="L26" s="11"/>
    </row>
    <row r="27" spans="1:12" ht="16" x14ac:dyDescent="0.2">
      <c r="A27" s="11"/>
      <c r="B27" s="11"/>
      <c r="C27" s="11"/>
      <c r="D27" s="11"/>
      <c r="E27" s="11"/>
      <c r="F27" s="11"/>
      <c r="G27" s="11"/>
      <c r="H27" s="12"/>
      <c r="J27" s="11"/>
      <c r="K27" s="11"/>
      <c r="L27" s="11"/>
    </row>
    <row r="28" spans="1:12" ht="16" x14ac:dyDescent="0.2">
      <c r="A28" s="11"/>
      <c r="B28" s="11"/>
      <c r="C28" s="11"/>
      <c r="D28" s="11"/>
      <c r="E28" s="11"/>
      <c r="F28" s="11"/>
      <c r="G28" s="11"/>
      <c r="H28" s="12"/>
      <c r="J28" s="11"/>
      <c r="K28" s="11"/>
      <c r="L28" s="11"/>
    </row>
    <row r="29" spans="1:12" ht="16" x14ac:dyDescent="0.2">
      <c r="A29" s="11"/>
      <c r="B29" s="11"/>
      <c r="C29" s="11"/>
      <c r="D29" s="11"/>
      <c r="E29" s="11"/>
      <c r="F29" s="11"/>
      <c r="G29" s="11"/>
      <c r="H29" s="12"/>
      <c r="J29" s="11"/>
      <c r="K29" s="11"/>
      <c r="L2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1"/>
  <sheetViews>
    <sheetView workbookViewId="0">
      <selection sqref="A1:CA21"/>
    </sheetView>
  </sheetViews>
  <sheetFormatPr baseColWidth="10" defaultRowHeight="15" x14ac:dyDescent="0.2"/>
  <cols>
    <col min="1" max="1" width="18.5" bestFit="1" customWidth="1"/>
  </cols>
  <sheetData>
    <row r="1" spans="1:79" s="1" customFormat="1" ht="1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2" t="s">
        <v>7</v>
      </c>
      <c r="I1" s="2" t="s">
        <v>8</v>
      </c>
      <c r="J1" s="2" t="s">
        <v>70</v>
      </c>
      <c r="K1" s="2" t="s">
        <v>71</v>
      </c>
      <c r="L1" s="2" t="s">
        <v>9</v>
      </c>
      <c r="M1" s="2" t="s">
        <v>10</v>
      </c>
      <c r="N1" s="2" t="s">
        <v>11</v>
      </c>
      <c r="O1" s="2" t="s">
        <v>72</v>
      </c>
      <c r="P1" s="2" t="s">
        <v>73</v>
      </c>
      <c r="Q1" s="2" t="s">
        <v>12</v>
      </c>
      <c r="R1" s="2" t="s">
        <v>74</v>
      </c>
      <c r="S1" s="2" t="s">
        <v>75</v>
      </c>
      <c r="T1" s="2" t="s">
        <v>76</v>
      </c>
      <c r="U1" s="2" t="s">
        <v>13</v>
      </c>
      <c r="V1" s="2" t="s">
        <v>77</v>
      </c>
      <c r="W1" s="2" t="s">
        <v>14</v>
      </c>
      <c r="X1" s="2" t="s">
        <v>78</v>
      </c>
      <c r="Y1" s="2" t="s">
        <v>79</v>
      </c>
      <c r="Z1" s="2" t="s">
        <v>15</v>
      </c>
      <c r="AA1" s="2" t="s">
        <v>16</v>
      </c>
      <c r="AB1" s="2" t="s">
        <v>80</v>
      </c>
      <c r="AC1" s="2" t="s">
        <v>17</v>
      </c>
      <c r="AD1" s="2" t="s">
        <v>18</v>
      </c>
      <c r="AE1" s="2" t="s">
        <v>81</v>
      </c>
      <c r="AF1" s="2" t="s">
        <v>82</v>
      </c>
      <c r="AG1" s="2" t="s">
        <v>83</v>
      </c>
      <c r="AH1" s="2" t="s">
        <v>19</v>
      </c>
      <c r="AI1" s="2" t="s">
        <v>20</v>
      </c>
      <c r="AJ1" s="2" t="s">
        <v>21</v>
      </c>
      <c r="AK1" s="2" t="s">
        <v>84</v>
      </c>
      <c r="AL1" s="2" t="s">
        <v>85</v>
      </c>
      <c r="AM1" s="2" t="s">
        <v>86</v>
      </c>
      <c r="AN1" s="2" t="s">
        <v>22</v>
      </c>
      <c r="AO1" s="2" t="s">
        <v>87</v>
      </c>
      <c r="AP1" s="2" t="s">
        <v>23</v>
      </c>
      <c r="AQ1" s="2" t="s">
        <v>24</v>
      </c>
      <c r="AR1" s="2" t="s">
        <v>88</v>
      </c>
      <c r="AS1" s="2" t="s">
        <v>25</v>
      </c>
      <c r="AT1" s="2" t="s">
        <v>26</v>
      </c>
      <c r="AU1" s="2" t="s">
        <v>27</v>
      </c>
      <c r="AV1" s="2" t="s">
        <v>89</v>
      </c>
      <c r="AW1" s="2" t="s">
        <v>90</v>
      </c>
      <c r="AX1" s="2" t="s">
        <v>28</v>
      </c>
      <c r="AY1" s="2" t="s">
        <v>29</v>
      </c>
      <c r="AZ1" s="2" t="s">
        <v>30</v>
      </c>
      <c r="BA1" s="2" t="s">
        <v>31</v>
      </c>
      <c r="BB1" s="2" t="s">
        <v>91</v>
      </c>
      <c r="BC1" s="2" t="s">
        <v>32</v>
      </c>
      <c r="BD1" s="2" t="s">
        <v>92</v>
      </c>
      <c r="BE1" s="2" t="s">
        <v>33</v>
      </c>
      <c r="BF1" s="2" t="s">
        <v>34</v>
      </c>
      <c r="BG1" s="2" t="s">
        <v>93</v>
      </c>
      <c r="BH1" s="2" t="s">
        <v>94</v>
      </c>
      <c r="BI1" s="2" t="s">
        <v>35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  <c r="BP1" s="2" t="s">
        <v>36</v>
      </c>
      <c r="BQ1" s="2" t="s">
        <v>37</v>
      </c>
      <c r="BR1" s="2" t="s">
        <v>101</v>
      </c>
      <c r="BS1" s="2" t="s">
        <v>38</v>
      </c>
      <c r="BT1" s="2" t="s">
        <v>39</v>
      </c>
      <c r="BU1" s="2" t="s">
        <v>40</v>
      </c>
      <c r="BV1" s="2" t="s">
        <v>102</v>
      </c>
      <c r="BW1" s="2" t="s">
        <v>103</v>
      </c>
      <c r="BX1" s="2" t="s">
        <v>104</v>
      </c>
      <c r="BY1" s="2" t="s">
        <v>41</v>
      </c>
      <c r="BZ1" s="2" t="s">
        <v>42</v>
      </c>
      <c r="CA1" s="2" t="s">
        <v>105</v>
      </c>
    </row>
    <row r="2" spans="1:79" x14ac:dyDescent="0.2">
      <c r="A2" t="s">
        <v>43</v>
      </c>
      <c r="B2">
        <v>34</v>
      </c>
      <c r="C2">
        <v>14</v>
      </c>
      <c r="D2">
        <v>21</v>
      </c>
      <c r="E2">
        <v>24</v>
      </c>
      <c r="F2">
        <v>2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</row>
    <row r="3" spans="1:79" x14ac:dyDescent="0.2">
      <c r="A3" t="s">
        <v>45</v>
      </c>
      <c r="B3">
        <v>28</v>
      </c>
      <c r="C3">
        <v>4</v>
      </c>
      <c r="D3">
        <v>7</v>
      </c>
      <c r="E3">
        <v>11</v>
      </c>
      <c r="F3">
        <v>0</v>
      </c>
      <c r="G3">
        <v>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</row>
    <row r="4" spans="1:79" x14ac:dyDescent="0.2">
      <c r="A4" t="s">
        <v>46</v>
      </c>
      <c r="B4">
        <v>16</v>
      </c>
      <c r="C4">
        <v>2</v>
      </c>
      <c r="D4">
        <v>3</v>
      </c>
      <c r="E4">
        <v>10</v>
      </c>
      <c r="F4">
        <v>0</v>
      </c>
      <c r="G4">
        <v>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 x14ac:dyDescent="0.2">
      <c r="A5" t="s">
        <v>47</v>
      </c>
      <c r="B5">
        <v>11</v>
      </c>
      <c r="C5">
        <v>0</v>
      </c>
      <c r="D5">
        <v>1</v>
      </c>
      <c r="E5">
        <v>9</v>
      </c>
      <c r="F5">
        <v>0</v>
      </c>
      <c r="G5">
        <v>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 x14ac:dyDescent="0.2">
      <c r="A6" t="s">
        <v>48</v>
      </c>
      <c r="B6">
        <v>7</v>
      </c>
      <c r="C6">
        <v>0</v>
      </c>
      <c r="D6">
        <v>1</v>
      </c>
      <c r="E6">
        <v>6</v>
      </c>
      <c r="F6">
        <v>1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 x14ac:dyDescent="0.2">
      <c r="A7" t="s">
        <v>49</v>
      </c>
      <c r="B7">
        <v>4</v>
      </c>
      <c r="C7">
        <v>0</v>
      </c>
      <c r="D7">
        <v>0</v>
      </c>
      <c r="E7">
        <v>3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 x14ac:dyDescent="0.2">
      <c r="A8" t="s">
        <v>50</v>
      </c>
      <c r="B8">
        <v>0</v>
      </c>
      <c r="C8">
        <v>0</v>
      </c>
      <c r="D8">
        <v>0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 x14ac:dyDescent="0.2">
      <c r="A9" t="s">
        <v>51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 x14ac:dyDescent="0.2">
      <c r="A10" t="s">
        <v>52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 x14ac:dyDescent="0.2">
      <c r="A11" t="s">
        <v>44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 x14ac:dyDescent="0.2">
      <c r="A12" t="s">
        <v>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3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2</v>
      </c>
      <c r="AJ12">
        <v>1</v>
      </c>
      <c r="AK12">
        <v>1</v>
      </c>
      <c r="AL12">
        <v>1</v>
      </c>
      <c r="AM12">
        <v>3</v>
      </c>
      <c r="AN12">
        <v>12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4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 x14ac:dyDescent="0.2">
      <c r="A13" t="s">
        <v>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3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3</v>
      </c>
      <c r="AN13">
        <v>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2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</row>
    <row r="14" spans="1:79" x14ac:dyDescent="0.2">
      <c r="A14" t="s">
        <v>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2</v>
      </c>
      <c r="BI14">
        <v>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</row>
    <row r="15" spans="1:79" x14ac:dyDescent="0.2">
      <c r="A15" t="s">
        <v>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</row>
    <row r="16" spans="1:79" x14ac:dyDescent="0.2">
      <c r="A16" t="s">
        <v>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</row>
    <row r="17" spans="1:79" x14ac:dyDescent="0.2">
      <c r="A1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</row>
    <row r="18" spans="1:79" x14ac:dyDescent="0.2">
      <c r="A18" t="s">
        <v>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</row>
    <row r="19" spans="1:79" x14ac:dyDescent="0.2">
      <c r="A19" t="s">
        <v>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</row>
    <row r="20" spans="1:79" x14ac:dyDescent="0.2">
      <c r="A20" t="s">
        <v>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</row>
    <row r="21" spans="1:79" x14ac:dyDescent="0.2">
      <c r="A21" t="s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D46E-0306-DE47-A554-6DB1B37826E3}">
  <dimension ref="A1:CA24"/>
  <sheetViews>
    <sheetView tabSelected="1" topLeftCell="P1" workbookViewId="0">
      <selection activeCell="B1" sqref="B1"/>
    </sheetView>
  </sheetViews>
  <sheetFormatPr baseColWidth="10" defaultRowHeight="15" x14ac:dyDescent="0.2"/>
  <cols>
    <col min="1" max="1" width="18.6640625" customWidth="1"/>
    <col min="8" max="8" width="10.83203125" style="5"/>
    <col min="9" max="9" width="10.83203125" style="8"/>
    <col min="22" max="22" width="10.83203125" style="8"/>
    <col min="23" max="23" width="10.83203125" style="5"/>
    <col min="51" max="51" width="10.83203125" style="8"/>
    <col min="54" max="54" width="10.83203125" style="8"/>
    <col min="56" max="56" width="10.83203125" style="8"/>
    <col min="58" max="58" width="10.83203125" style="8"/>
    <col min="64" max="64" width="10.83203125" style="8"/>
    <col min="66" max="66" width="10.83203125" style="8"/>
    <col min="67" max="67" width="10.83203125" style="5"/>
    <col min="70" max="70" width="10.83203125" style="8"/>
    <col min="73" max="73" width="10.83203125" style="8"/>
    <col min="76" max="76" width="10.83203125" style="8"/>
  </cols>
  <sheetData>
    <row r="1" spans="1:79" s="1" customFormat="1" ht="49" customHeight="1" x14ac:dyDescent="0.2">
      <c r="B1" s="1" t="s">
        <v>118</v>
      </c>
      <c r="H1" s="27" t="s">
        <v>106</v>
      </c>
      <c r="I1" s="28"/>
      <c r="J1" s="22" t="s">
        <v>107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1" t="s">
        <v>108</v>
      </c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1" t="s">
        <v>109</v>
      </c>
      <c r="BA1" s="22"/>
      <c r="BB1" s="23"/>
      <c r="BC1" s="21" t="s">
        <v>110</v>
      </c>
      <c r="BD1" s="22"/>
      <c r="BE1" s="22" t="s">
        <v>111</v>
      </c>
      <c r="BF1" s="22"/>
      <c r="BG1" s="29" t="s">
        <v>112</v>
      </c>
      <c r="BH1" s="29"/>
      <c r="BI1" s="29"/>
      <c r="BJ1" s="29"/>
      <c r="BK1" s="29"/>
      <c r="BL1" s="29"/>
      <c r="BM1" s="22" t="s">
        <v>113</v>
      </c>
      <c r="BN1" s="23"/>
      <c r="BO1" s="21" t="s">
        <v>114</v>
      </c>
      <c r="BP1" s="22"/>
      <c r="BQ1" s="22"/>
      <c r="BR1" s="23"/>
      <c r="BS1" s="21" t="s">
        <v>115</v>
      </c>
      <c r="BT1" s="22"/>
      <c r="BU1" s="23"/>
      <c r="BV1" s="21" t="s">
        <v>116</v>
      </c>
      <c r="BW1" s="22"/>
      <c r="BX1" s="23"/>
      <c r="BY1" s="3" t="s">
        <v>117</v>
      </c>
    </row>
    <row r="2" spans="1:79" s="1" customFormat="1" ht="128" x14ac:dyDescent="0.2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5</v>
      </c>
      <c r="H2" s="4" t="s">
        <v>7</v>
      </c>
      <c r="I2" s="7" t="s">
        <v>18</v>
      </c>
      <c r="J2" s="2" t="s">
        <v>8</v>
      </c>
      <c r="K2" s="2" t="s">
        <v>70</v>
      </c>
      <c r="L2" s="2" t="s">
        <v>71</v>
      </c>
      <c r="M2" s="2" t="s">
        <v>12</v>
      </c>
      <c r="N2" s="2" t="s">
        <v>75</v>
      </c>
      <c r="O2" s="2" t="s">
        <v>76</v>
      </c>
      <c r="P2" s="2" t="s">
        <v>74</v>
      </c>
      <c r="Q2" s="2" t="s">
        <v>14</v>
      </c>
      <c r="R2" s="2" t="s">
        <v>29</v>
      </c>
      <c r="S2" s="2" t="s">
        <v>30</v>
      </c>
      <c r="T2" s="2" t="s">
        <v>31</v>
      </c>
      <c r="U2" s="2" t="s">
        <v>91</v>
      </c>
      <c r="V2" s="7" t="s">
        <v>32</v>
      </c>
      <c r="W2" s="4" t="s">
        <v>9</v>
      </c>
      <c r="X2" s="2" t="s">
        <v>78</v>
      </c>
      <c r="Y2" s="2" t="s">
        <v>79</v>
      </c>
      <c r="Z2" s="2" t="s">
        <v>17</v>
      </c>
      <c r="AA2" s="2" t="s">
        <v>85</v>
      </c>
      <c r="AB2" s="2" t="s">
        <v>86</v>
      </c>
      <c r="AC2" s="2" t="s">
        <v>22</v>
      </c>
      <c r="AD2" s="2" t="s">
        <v>87</v>
      </c>
      <c r="AE2" s="2" t="s">
        <v>26</v>
      </c>
      <c r="AF2" s="2" t="s">
        <v>27</v>
      </c>
      <c r="AG2" s="2" t="s">
        <v>89</v>
      </c>
      <c r="AH2" s="2" t="s">
        <v>90</v>
      </c>
      <c r="AI2" s="2" t="s">
        <v>23</v>
      </c>
      <c r="AJ2" s="2" t="s">
        <v>24</v>
      </c>
      <c r="AK2" s="2" t="s">
        <v>88</v>
      </c>
      <c r="AL2" s="2" t="s">
        <v>98</v>
      </c>
      <c r="AM2" s="2" t="s">
        <v>99</v>
      </c>
      <c r="AN2" s="2" t="s">
        <v>100</v>
      </c>
      <c r="AO2" s="2" t="s">
        <v>36</v>
      </c>
      <c r="AP2" s="2" t="s">
        <v>37</v>
      </c>
      <c r="AQ2" s="2" t="s">
        <v>101</v>
      </c>
      <c r="AR2" s="2" t="s">
        <v>103</v>
      </c>
      <c r="AS2" s="2" t="s">
        <v>104</v>
      </c>
      <c r="AT2" s="2" t="s">
        <v>41</v>
      </c>
      <c r="AU2" s="2" t="s">
        <v>40</v>
      </c>
      <c r="AV2" s="2" t="s">
        <v>80</v>
      </c>
      <c r="AW2" s="2" t="s">
        <v>96</v>
      </c>
      <c r="AX2" s="2" t="s">
        <v>97</v>
      </c>
      <c r="AY2" s="7" t="s">
        <v>82</v>
      </c>
      <c r="AZ2" s="2" t="s">
        <v>10</v>
      </c>
      <c r="BA2" s="2" t="s">
        <v>11</v>
      </c>
      <c r="BB2" s="7" t="s">
        <v>83</v>
      </c>
      <c r="BC2" s="2" t="s">
        <v>72</v>
      </c>
      <c r="BD2" s="7" t="s">
        <v>73</v>
      </c>
      <c r="BE2" s="2" t="s">
        <v>13</v>
      </c>
      <c r="BF2" s="7" t="s">
        <v>77</v>
      </c>
      <c r="BG2" s="2" t="s">
        <v>81</v>
      </c>
      <c r="BH2" s="2" t="s">
        <v>15</v>
      </c>
      <c r="BI2" s="2" t="s">
        <v>93</v>
      </c>
      <c r="BJ2" s="2" t="s">
        <v>94</v>
      </c>
      <c r="BK2" s="2" t="s">
        <v>35</v>
      </c>
      <c r="BL2" s="7" t="s">
        <v>95</v>
      </c>
      <c r="BM2" s="2" t="s">
        <v>28</v>
      </c>
      <c r="BN2" s="7" t="s">
        <v>16</v>
      </c>
      <c r="BO2" s="4" t="s">
        <v>105</v>
      </c>
      <c r="BP2" s="2" t="s">
        <v>20</v>
      </c>
      <c r="BQ2" s="2" t="s">
        <v>21</v>
      </c>
      <c r="BR2" s="7" t="s">
        <v>102</v>
      </c>
      <c r="BS2" s="2" t="s">
        <v>38</v>
      </c>
      <c r="BT2" s="2" t="s">
        <v>92</v>
      </c>
      <c r="BU2" s="7" t="s">
        <v>33</v>
      </c>
      <c r="BV2" s="2" t="s">
        <v>25</v>
      </c>
      <c r="BW2" s="2" t="s">
        <v>39</v>
      </c>
      <c r="BX2" s="7" t="s">
        <v>42</v>
      </c>
      <c r="BY2" s="2" t="s">
        <v>19</v>
      </c>
      <c r="BZ2" s="2" t="s">
        <v>34</v>
      </c>
      <c r="CA2" s="2" t="s">
        <v>84</v>
      </c>
    </row>
    <row r="3" spans="1:79" x14ac:dyDescent="0.2">
      <c r="A3" t="s">
        <v>43</v>
      </c>
      <c r="B3">
        <v>34</v>
      </c>
      <c r="C3">
        <v>14</v>
      </c>
      <c r="D3">
        <v>21</v>
      </c>
      <c r="E3">
        <v>24</v>
      </c>
      <c r="F3">
        <v>2</v>
      </c>
      <c r="G3">
        <v>68</v>
      </c>
      <c r="H3" s="5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8">
        <v>0</v>
      </c>
      <c r="W3" s="5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s="8">
        <v>0</v>
      </c>
      <c r="AZ3">
        <v>0</v>
      </c>
      <c r="BA3">
        <v>0</v>
      </c>
      <c r="BB3" s="8">
        <v>0</v>
      </c>
      <c r="BC3">
        <v>0</v>
      </c>
      <c r="BD3" s="8">
        <v>0</v>
      </c>
      <c r="BE3">
        <v>0</v>
      </c>
      <c r="BF3" s="8">
        <v>0</v>
      </c>
      <c r="BG3">
        <v>0</v>
      </c>
      <c r="BH3">
        <v>0</v>
      </c>
      <c r="BI3">
        <v>0</v>
      </c>
      <c r="BJ3">
        <v>0</v>
      </c>
      <c r="BK3">
        <v>0</v>
      </c>
      <c r="BL3" s="8">
        <v>0</v>
      </c>
      <c r="BM3">
        <v>0</v>
      </c>
      <c r="BN3" s="8">
        <v>0</v>
      </c>
      <c r="BO3" s="5">
        <v>0</v>
      </c>
      <c r="BP3">
        <v>0</v>
      </c>
      <c r="BQ3">
        <v>0</v>
      </c>
      <c r="BR3" s="8">
        <v>0</v>
      </c>
      <c r="BS3">
        <v>0</v>
      </c>
      <c r="BT3">
        <v>0</v>
      </c>
      <c r="BU3" s="8">
        <v>0</v>
      </c>
      <c r="BV3">
        <v>0</v>
      </c>
      <c r="BW3">
        <v>0</v>
      </c>
      <c r="BX3" s="8">
        <v>0</v>
      </c>
      <c r="BY3">
        <v>0</v>
      </c>
      <c r="BZ3">
        <v>0</v>
      </c>
      <c r="CA3">
        <v>0</v>
      </c>
    </row>
    <row r="4" spans="1:79" x14ac:dyDescent="0.2">
      <c r="A4" t="s">
        <v>45</v>
      </c>
      <c r="B4">
        <v>28</v>
      </c>
      <c r="C4">
        <v>4</v>
      </c>
      <c r="D4">
        <v>7</v>
      </c>
      <c r="E4">
        <v>11</v>
      </c>
      <c r="F4">
        <v>0</v>
      </c>
      <c r="G4">
        <v>47</v>
      </c>
      <c r="H4" s="5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8">
        <v>0</v>
      </c>
      <c r="W4" s="5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s="8">
        <v>0</v>
      </c>
      <c r="AZ4">
        <v>0</v>
      </c>
      <c r="BA4">
        <v>0</v>
      </c>
      <c r="BB4" s="8">
        <v>0</v>
      </c>
      <c r="BC4">
        <v>0</v>
      </c>
      <c r="BD4" s="8">
        <v>0</v>
      </c>
      <c r="BE4">
        <v>0</v>
      </c>
      <c r="BF4" s="8">
        <v>0</v>
      </c>
      <c r="BG4">
        <v>0</v>
      </c>
      <c r="BH4">
        <v>0</v>
      </c>
      <c r="BI4">
        <v>0</v>
      </c>
      <c r="BJ4">
        <v>0</v>
      </c>
      <c r="BK4">
        <v>0</v>
      </c>
      <c r="BL4" s="8">
        <v>0</v>
      </c>
      <c r="BM4">
        <v>0</v>
      </c>
      <c r="BN4" s="8">
        <v>0</v>
      </c>
      <c r="BO4" s="5">
        <v>0</v>
      </c>
      <c r="BP4">
        <v>0</v>
      </c>
      <c r="BQ4">
        <v>0</v>
      </c>
      <c r="BR4" s="8">
        <v>0</v>
      </c>
      <c r="BS4">
        <v>0</v>
      </c>
      <c r="BT4">
        <v>0</v>
      </c>
      <c r="BU4" s="8">
        <v>0</v>
      </c>
      <c r="BV4">
        <v>0</v>
      </c>
      <c r="BW4">
        <v>0</v>
      </c>
      <c r="BX4" s="8">
        <v>0</v>
      </c>
      <c r="BY4">
        <v>0</v>
      </c>
      <c r="BZ4">
        <v>0</v>
      </c>
      <c r="CA4">
        <v>0</v>
      </c>
    </row>
    <row r="5" spans="1:79" x14ac:dyDescent="0.2">
      <c r="A5" t="s">
        <v>46</v>
      </c>
      <c r="B5">
        <v>16</v>
      </c>
      <c r="C5">
        <v>2</v>
      </c>
      <c r="D5">
        <v>3</v>
      </c>
      <c r="E5">
        <v>10</v>
      </c>
      <c r="F5">
        <v>0</v>
      </c>
      <c r="G5">
        <v>32</v>
      </c>
      <c r="H5" s="5">
        <v>0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8">
        <v>0</v>
      </c>
      <c r="W5" s="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s="8">
        <v>0</v>
      </c>
      <c r="AZ5">
        <v>0</v>
      </c>
      <c r="BA5">
        <v>0</v>
      </c>
      <c r="BB5" s="8">
        <v>0</v>
      </c>
      <c r="BC5">
        <v>0</v>
      </c>
      <c r="BD5" s="8">
        <v>0</v>
      </c>
      <c r="BE5">
        <v>0</v>
      </c>
      <c r="BF5" s="8">
        <v>0</v>
      </c>
      <c r="BG5">
        <v>0</v>
      </c>
      <c r="BH5">
        <v>0</v>
      </c>
      <c r="BI5">
        <v>0</v>
      </c>
      <c r="BJ5">
        <v>0</v>
      </c>
      <c r="BK5">
        <v>0</v>
      </c>
      <c r="BL5" s="8">
        <v>0</v>
      </c>
      <c r="BM5">
        <v>0</v>
      </c>
      <c r="BN5" s="8">
        <v>0</v>
      </c>
      <c r="BO5" s="5">
        <v>0</v>
      </c>
      <c r="BP5">
        <v>0</v>
      </c>
      <c r="BQ5">
        <v>0</v>
      </c>
      <c r="BR5" s="8">
        <v>0</v>
      </c>
      <c r="BS5">
        <v>0</v>
      </c>
      <c r="BT5">
        <v>0</v>
      </c>
      <c r="BU5" s="8">
        <v>0</v>
      </c>
      <c r="BV5">
        <v>0</v>
      </c>
      <c r="BW5">
        <v>0</v>
      </c>
      <c r="BX5" s="8">
        <v>0</v>
      </c>
      <c r="BY5">
        <v>0</v>
      </c>
      <c r="BZ5">
        <v>0</v>
      </c>
      <c r="CA5">
        <v>0</v>
      </c>
    </row>
    <row r="6" spans="1:79" x14ac:dyDescent="0.2">
      <c r="A6" t="s">
        <v>47</v>
      </c>
      <c r="B6">
        <v>11</v>
      </c>
      <c r="C6">
        <v>0</v>
      </c>
      <c r="D6">
        <v>1</v>
      </c>
      <c r="E6">
        <v>9</v>
      </c>
      <c r="F6">
        <v>0</v>
      </c>
      <c r="G6">
        <v>15</v>
      </c>
      <c r="H6" s="5">
        <v>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8">
        <v>0</v>
      </c>
      <c r="W6" s="5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s="8">
        <v>0</v>
      </c>
      <c r="AZ6">
        <v>0</v>
      </c>
      <c r="BA6">
        <v>0</v>
      </c>
      <c r="BB6" s="8">
        <v>0</v>
      </c>
      <c r="BC6">
        <v>0</v>
      </c>
      <c r="BD6" s="8">
        <v>0</v>
      </c>
      <c r="BE6">
        <v>0</v>
      </c>
      <c r="BF6" s="8">
        <v>0</v>
      </c>
      <c r="BG6">
        <v>0</v>
      </c>
      <c r="BH6">
        <v>0</v>
      </c>
      <c r="BI6">
        <v>0</v>
      </c>
      <c r="BJ6">
        <v>0</v>
      </c>
      <c r="BK6">
        <v>0</v>
      </c>
      <c r="BL6" s="8">
        <v>0</v>
      </c>
      <c r="BM6">
        <v>0</v>
      </c>
      <c r="BN6" s="8">
        <v>0</v>
      </c>
      <c r="BO6" s="5">
        <v>0</v>
      </c>
      <c r="BP6">
        <v>0</v>
      </c>
      <c r="BQ6">
        <v>0</v>
      </c>
      <c r="BR6" s="8">
        <v>0</v>
      </c>
      <c r="BS6">
        <v>0</v>
      </c>
      <c r="BT6">
        <v>0</v>
      </c>
      <c r="BU6" s="8">
        <v>0</v>
      </c>
      <c r="BV6">
        <v>0</v>
      </c>
      <c r="BW6">
        <v>0</v>
      </c>
      <c r="BX6" s="8">
        <v>0</v>
      </c>
      <c r="BY6">
        <v>0</v>
      </c>
      <c r="BZ6">
        <v>0</v>
      </c>
      <c r="CA6">
        <v>0</v>
      </c>
    </row>
    <row r="7" spans="1:79" x14ac:dyDescent="0.2">
      <c r="A7" t="s">
        <v>48</v>
      </c>
      <c r="B7">
        <v>7</v>
      </c>
      <c r="C7">
        <v>0</v>
      </c>
      <c r="D7">
        <v>1</v>
      </c>
      <c r="E7">
        <v>6</v>
      </c>
      <c r="F7">
        <v>1</v>
      </c>
      <c r="G7">
        <v>6</v>
      </c>
      <c r="H7" s="5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8">
        <v>0</v>
      </c>
      <c r="W7" s="5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s="8">
        <v>0</v>
      </c>
      <c r="AZ7">
        <v>0</v>
      </c>
      <c r="BA7">
        <v>0</v>
      </c>
      <c r="BB7" s="8">
        <v>0</v>
      </c>
      <c r="BC7">
        <v>0</v>
      </c>
      <c r="BD7" s="8">
        <v>0</v>
      </c>
      <c r="BE7">
        <v>0</v>
      </c>
      <c r="BF7" s="8">
        <v>0</v>
      </c>
      <c r="BG7">
        <v>0</v>
      </c>
      <c r="BH7">
        <v>0</v>
      </c>
      <c r="BI7">
        <v>0</v>
      </c>
      <c r="BJ7">
        <v>0</v>
      </c>
      <c r="BK7">
        <v>0</v>
      </c>
      <c r="BL7" s="8">
        <v>0</v>
      </c>
      <c r="BM7">
        <v>0</v>
      </c>
      <c r="BN7" s="8">
        <v>0</v>
      </c>
      <c r="BO7" s="5">
        <v>0</v>
      </c>
      <c r="BP7">
        <v>0</v>
      </c>
      <c r="BQ7">
        <v>0</v>
      </c>
      <c r="BR7" s="8">
        <v>0</v>
      </c>
      <c r="BS7">
        <v>0</v>
      </c>
      <c r="BT7">
        <v>0</v>
      </c>
      <c r="BU7" s="8">
        <v>0</v>
      </c>
      <c r="BV7">
        <v>0</v>
      </c>
      <c r="BW7">
        <v>0</v>
      </c>
      <c r="BX7" s="8">
        <v>0</v>
      </c>
      <c r="BY7">
        <v>0</v>
      </c>
      <c r="BZ7">
        <v>0</v>
      </c>
      <c r="CA7">
        <v>0</v>
      </c>
    </row>
    <row r="8" spans="1:79" x14ac:dyDescent="0.2">
      <c r="A8" t="s">
        <v>49</v>
      </c>
      <c r="B8">
        <v>4</v>
      </c>
      <c r="C8">
        <v>0</v>
      </c>
      <c r="D8">
        <v>0</v>
      </c>
      <c r="E8">
        <v>3</v>
      </c>
      <c r="F8">
        <v>0</v>
      </c>
      <c r="G8">
        <v>5</v>
      </c>
      <c r="H8" s="5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8">
        <v>0</v>
      </c>
      <c r="W8" s="5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s="8">
        <v>0</v>
      </c>
      <c r="AZ8">
        <v>0</v>
      </c>
      <c r="BA8">
        <v>0</v>
      </c>
      <c r="BB8" s="8">
        <v>0</v>
      </c>
      <c r="BC8">
        <v>0</v>
      </c>
      <c r="BD8" s="8">
        <v>0</v>
      </c>
      <c r="BE8">
        <v>0</v>
      </c>
      <c r="BF8" s="8">
        <v>0</v>
      </c>
      <c r="BG8">
        <v>0</v>
      </c>
      <c r="BH8">
        <v>0</v>
      </c>
      <c r="BI8">
        <v>0</v>
      </c>
      <c r="BJ8">
        <v>0</v>
      </c>
      <c r="BK8">
        <v>0</v>
      </c>
      <c r="BL8" s="8">
        <v>0</v>
      </c>
      <c r="BM8">
        <v>0</v>
      </c>
      <c r="BN8" s="8">
        <v>0</v>
      </c>
      <c r="BO8" s="5">
        <v>0</v>
      </c>
      <c r="BP8">
        <v>0</v>
      </c>
      <c r="BQ8">
        <v>0</v>
      </c>
      <c r="BR8" s="8">
        <v>0</v>
      </c>
      <c r="BS8">
        <v>0</v>
      </c>
      <c r="BT8">
        <v>0</v>
      </c>
      <c r="BU8" s="8">
        <v>0</v>
      </c>
      <c r="BV8">
        <v>0</v>
      </c>
      <c r="BW8">
        <v>0</v>
      </c>
      <c r="BX8" s="8">
        <v>0</v>
      </c>
      <c r="BY8">
        <v>0</v>
      </c>
      <c r="BZ8">
        <v>0</v>
      </c>
      <c r="CA8">
        <v>0</v>
      </c>
    </row>
    <row r="9" spans="1:79" x14ac:dyDescent="0.2">
      <c r="A9" t="s">
        <v>50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 s="5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8">
        <v>0</v>
      </c>
      <c r="W9" s="5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s="8">
        <v>0</v>
      </c>
      <c r="AZ9">
        <v>0</v>
      </c>
      <c r="BA9">
        <v>0</v>
      </c>
      <c r="BB9" s="8">
        <v>0</v>
      </c>
      <c r="BC9">
        <v>0</v>
      </c>
      <c r="BD9" s="8">
        <v>0</v>
      </c>
      <c r="BE9">
        <v>0</v>
      </c>
      <c r="BF9" s="8">
        <v>0</v>
      </c>
      <c r="BG9">
        <v>0</v>
      </c>
      <c r="BH9">
        <v>0</v>
      </c>
      <c r="BI9">
        <v>0</v>
      </c>
      <c r="BJ9">
        <v>0</v>
      </c>
      <c r="BK9">
        <v>0</v>
      </c>
      <c r="BL9" s="8">
        <v>0</v>
      </c>
      <c r="BM9">
        <v>0</v>
      </c>
      <c r="BN9" s="8">
        <v>0</v>
      </c>
      <c r="BO9" s="5">
        <v>0</v>
      </c>
      <c r="BP9">
        <v>0</v>
      </c>
      <c r="BQ9">
        <v>0</v>
      </c>
      <c r="BR9" s="8">
        <v>0</v>
      </c>
      <c r="BS9">
        <v>0</v>
      </c>
      <c r="BT9">
        <v>0</v>
      </c>
      <c r="BU9" s="8">
        <v>0</v>
      </c>
      <c r="BV9">
        <v>0</v>
      </c>
      <c r="BW9">
        <v>0</v>
      </c>
      <c r="BX9" s="8">
        <v>0</v>
      </c>
      <c r="BY9">
        <v>0</v>
      </c>
      <c r="BZ9">
        <v>0</v>
      </c>
      <c r="CA9">
        <v>0</v>
      </c>
    </row>
    <row r="10" spans="1:79" x14ac:dyDescent="0.2">
      <c r="A10" t="s">
        <v>51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 s="5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8">
        <v>0</v>
      </c>
      <c r="W10" s="5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s="8">
        <v>0</v>
      </c>
      <c r="AZ10">
        <v>0</v>
      </c>
      <c r="BA10">
        <v>0</v>
      </c>
      <c r="BB10" s="8">
        <v>0</v>
      </c>
      <c r="BC10">
        <v>0</v>
      </c>
      <c r="BD10" s="8">
        <v>0</v>
      </c>
      <c r="BE10">
        <v>0</v>
      </c>
      <c r="BF10" s="8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s="8">
        <v>0</v>
      </c>
      <c r="BM10">
        <v>0</v>
      </c>
      <c r="BN10" s="8">
        <v>0</v>
      </c>
      <c r="BO10" s="5">
        <v>0</v>
      </c>
      <c r="BP10">
        <v>0</v>
      </c>
      <c r="BQ10">
        <v>0</v>
      </c>
      <c r="BR10" s="8">
        <v>0</v>
      </c>
      <c r="BS10">
        <v>0</v>
      </c>
      <c r="BT10">
        <v>0</v>
      </c>
      <c r="BU10" s="8">
        <v>0</v>
      </c>
      <c r="BV10">
        <v>0</v>
      </c>
      <c r="BW10">
        <v>0</v>
      </c>
      <c r="BX10" s="8">
        <v>0</v>
      </c>
      <c r="BY10">
        <v>0</v>
      </c>
      <c r="BZ10">
        <v>0</v>
      </c>
      <c r="CA10">
        <v>0</v>
      </c>
    </row>
    <row r="11" spans="1:79" x14ac:dyDescent="0.2">
      <c r="A11" t="s">
        <v>52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 s="5">
        <v>0</v>
      </c>
      <c r="I11" s="8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8">
        <v>0</v>
      </c>
      <c r="W11" s="5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s="8">
        <v>0</v>
      </c>
      <c r="AZ11">
        <v>0</v>
      </c>
      <c r="BA11">
        <v>0</v>
      </c>
      <c r="BB11" s="8">
        <v>0</v>
      </c>
      <c r="BC11">
        <v>0</v>
      </c>
      <c r="BD11" s="8">
        <v>0</v>
      </c>
      <c r="BE11">
        <v>0</v>
      </c>
      <c r="BF11" s="8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s="8">
        <v>0</v>
      </c>
      <c r="BM11">
        <v>0</v>
      </c>
      <c r="BN11" s="8">
        <v>0</v>
      </c>
      <c r="BO11" s="5">
        <v>0</v>
      </c>
      <c r="BP11">
        <v>0</v>
      </c>
      <c r="BQ11">
        <v>0</v>
      </c>
      <c r="BR11" s="8">
        <v>0</v>
      </c>
      <c r="BS11">
        <v>0</v>
      </c>
      <c r="BT11">
        <v>0</v>
      </c>
      <c r="BU11" s="8">
        <v>0</v>
      </c>
      <c r="BV11">
        <v>0</v>
      </c>
      <c r="BW11">
        <v>0</v>
      </c>
      <c r="BX11" s="8">
        <v>0</v>
      </c>
      <c r="BY11">
        <v>0</v>
      </c>
      <c r="BZ11">
        <v>0</v>
      </c>
      <c r="CA11">
        <v>0</v>
      </c>
    </row>
    <row r="12" spans="1:79" x14ac:dyDescent="0.2">
      <c r="A12" t="s">
        <v>44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 s="5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8">
        <v>0</v>
      </c>
      <c r="W12" s="5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s="8">
        <v>0</v>
      </c>
      <c r="AZ12">
        <v>0</v>
      </c>
      <c r="BA12">
        <v>0</v>
      </c>
      <c r="BB12" s="8">
        <v>0</v>
      </c>
      <c r="BC12">
        <v>0</v>
      </c>
      <c r="BD12" s="8">
        <v>0</v>
      </c>
      <c r="BE12">
        <v>0</v>
      </c>
      <c r="BF12" s="8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s="8">
        <v>0</v>
      </c>
      <c r="BM12">
        <v>0</v>
      </c>
      <c r="BN12" s="8">
        <v>0</v>
      </c>
      <c r="BO12" s="5">
        <v>0</v>
      </c>
      <c r="BP12">
        <v>0</v>
      </c>
      <c r="BQ12">
        <v>0</v>
      </c>
      <c r="BR12" s="8">
        <v>0</v>
      </c>
      <c r="BS12">
        <v>0</v>
      </c>
      <c r="BT12">
        <v>0</v>
      </c>
      <c r="BU12" s="8">
        <v>0</v>
      </c>
      <c r="BV12">
        <v>0</v>
      </c>
      <c r="BW12">
        <v>0</v>
      </c>
      <c r="BX12" s="8">
        <v>0</v>
      </c>
      <c r="BY12">
        <v>0</v>
      </c>
      <c r="BZ12">
        <v>0</v>
      </c>
      <c r="CA12">
        <v>0</v>
      </c>
    </row>
    <row r="13" spans="1:79" x14ac:dyDescent="0.2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5">
        <v>1</v>
      </c>
      <c r="I13" s="8">
        <v>1</v>
      </c>
      <c r="J13">
        <v>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4</v>
      </c>
      <c r="U13">
        <v>1</v>
      </c>
      <c r="V13" s="8">
        <v>0</v>
      </c>
      <c r="W13" s="5">
        <v>1</v>
      </c>
      <c r="X13">
        <v>1</v>
      </c>
      <c r="Y13">
        <v>1</v>
      </c>
      <c r="Z13">
        <v>1</v>
      </c>
      <c r="AA13">
        <v>1</v>
      </c>
      <c r="AB13">
        <v>3</v>
      </c>
      <c r="AC13">
        <v>12</v>
      </c>
      <c r="AD13">
        <v>1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 s="8">
        <v>1</v>
      </c>
      <c r="AZ13">
        <v>1</v>
      </c>
      <c r="BA13">
        <v>1</v>
      </c>
      <c r="BB13" s="8">
        <v>1</v>
      </c>
      <c r="BC13">
        <v>3</v>
      </c>
      <c r="BD13" s="8">
        <v>1</v>
      </c>
      <c r="BE13">
        <v>1</v>
      </c>
      <c r="BF13" s="8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 s="8">
        <v>0</v>
      </c>
      <c r="BM13">
        <v>1</v>
      </c>
      <c r="BN13" s="8">
        <v>1</v>
      </c>
      <c r="BO13" s="5">
        <v>0</v>
      </c>
      <c r="BP13">
        <v>2</v>
      </c>
      <c r="BQ13">
        <v>1</v>
      </c>
      <c r="BR13" s="8">
        <v>0</v>
      </c>
      <c r="BS13">
        <v>0</v>
      </c>
      <c r="BT13">
        <v>0</v>
      </c>
      <c r="BU13" s="8">
        <v>0</v>
      </c>
      <c r="BV13">
        <v>1</v>
      </c>
      <c r="BW13">
        <v>0</v>
      </c>
      <c r="BX13" s="8">
        <v>0</v>
      </c>
      <c r="BY13">
        <v>1</v>
      </c>
      <c r="BZ13">
        <v>0</v>
      </c>
      <c r="CA13">
        <v>1</v>
      </c>
    </row>
    <row r="14" spans="1:79" x14ac:dyDescent="0.2">
      <c r="A14" t="s">
        <v>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5">
        <v>1</v>
      </c>
      <c r="I14" s="8">
        <v>1</v>
      </c>
      <c r="J14">
        <v>3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 s="8">
        <v>1</v>
      </c>
      <c r="W14" s="5">
        <v>1</v>
      </c>
      <c r="X14">
        <v>1</v>
      </c>
      <c r="Y14">
        <v>1</v>
      </c>
      <c r="Z14">
        <v>0</v>
      </c>
      <c r="AA14">
        <v>0</v>
      </c>
      <c r="AB14">
        <v>3</v>
      </c>
      <c r="AC14">
        <v>8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1</v>
      </c>
      <c r="AY14" s="8">
        <v>0</v>
      </c>
      <c r="AZ14">
        <v>0</v>
      </c>
      <c r="BA14">
        <v>1</v>
      </c>
      <c r="BB14" s="8">
        <v>0</v>
      </c>
      <c r="BC14">
        <v>1</v>
      </c>
      <c r="BD14" s="8">
        <v>0</v>
      </c>
      <c r="BE14">
        <v>0</v>
      </c>
      <c r="BF14" s="8">
        <v>0</v>
      </c>
      <c r="BG14">
        <v>0</v>
      </c>
      <c r="BH14">
        <v>0</v>
      </c>
      <c r="BI14">
        <v>1</v>
      </c>
      <c r="BJ14">
        <v>1</v>
      </c>
      <c r="BK14">
        <v>2</v>
      </c>
      <c r="BL14" s="8">
        <v>1</v>
      </c>
      <c r="BM14">
        <v>0</v>
      </c>
      <c r="BN14" s="8">
        <v>0</v>
      </c>
      <c r="BO14" s="5">
        <v>0</v>
      </c>
      <c r="BP14">
        <v>0</v>
      </c>
      <c r="BQ14">
        <v>1</v>
      </c>
      <c r="BR14" s="8">
        <v>0</v>
      </c>
      <c r="BS14">
        <v>1</v>
      </c>
      <c r="BT14">
        <v>1</v>
      </c>
      <c r="BU14" s="8">
        <v>1</v>
      </c>
      <c r="BV14">
        <v>0</v>
      </c>
      <c r="BW14">
        <v>1</v>
      </c>
      <c r="BX14" s="8">
        <v>0</v>
      </c>
      <c r="BY14">
        <v>0</v>
      </c>
      <c r="BZ14">
        <v>1</v>
      </c>
      <c r="CA14">
        <v>0</v>
      </c>
    </row>
    <row r="15" spans="1:79" x14ac:dyDescent="0.2">
      <c r="A15" t="s">
        <v>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5">
        <v>1</v>
      </c>
      <c r="I15" s="8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 s="8">
        <v>1</v>
      </c>
      <c r="W15" s="5">
        <v>1</v>
      </c>
      <c r="X15">
        <v>0</v>
      </c>
      <c r="Y15">
        <v>0</v>
      </c>
      <c r="Z15">
        <v>0</v>
      </c>
      <c r="AA15">
        <v>0</v>
      </c>
      <c r="AB15">
        <v>2</v>
      </c>
      <c r="AC15">
        <v>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 s="8">
        <v>0</v>
      </c>
      <c r="AZ15">
        <v>0</v>
      </c>
      <c r="BA15">
        <v>0</v>
      </c>
      <c r="BB15" s="8">
        <v>0</v>
      </c>
      <c r="BC15">
        <v>0</v>
      </c>
      <c r="BD15" s="8">
        <v>0</v>
      </c>
      <c r="BE15">
        <v>0</v>
      </c>
      <c r="BF15" s="8">
        <v>0</v>
      </c>
      <c r="BG15">
        <v>0</v>
      </c>
      <c r="BH15">
        <v>0</v>
      </c>
      <c r="BI15">
        <v>0</v>
      </c>
      <c r="BJ15">
        <v>2</v>
      </c>
      <c r="BK15">
        <v>3</v>
      </c>
      <c r="BL15" s="8">
        <v>0</v>
      </c>
      <c r="BM15">
        <v>0</v>
      </c>
      <c r="BN15" s="8">
        <v>0</v>
      </c>
      <c r="BO15" s="5">
        <v>1</v>
      </c>
      <c r="BP15">
        <v>0</v>
      </c>
      <c r="BQ15">
        <v>0</v>
      </c>
      <c r="BR15" s="8">
        <v>1</v>
      </c>
      <c r="BS15">
        <v>1</v>
      </c>
      <c r="BT15">
        <v>1</v>
      </c>
      <c r="BU15" s="8">
        <v>1</v>
      </c>
      <c r="BV15">
        <v>0</v>
      </c>
      <c r="BW15">
        <v>0</v>
      </c>
      <c r="BX15" s="8">
        <v>1</v>
      </c>
      <c r="BY15">
        <v>0</v>
      </c>
      <c r="BZ15">
        <v>0</v>
      </c>
      <c r="CA15">
        <v>0</v>
      </c>
    </row>
    <row r="16" spans="1:79" x14ac:dyDescent="0.2">
      <c r="A16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5">
        <v>1</v>
      </c>
      <c r="I16" s="8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 s="8">
        <v>0</v>
      </c>
      <c r="W16" s="5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 s="8">
        <v>0</v>
      </c>
      <c r="AZ16">
        <v>0</v>
      </c>
      <c r="BA16">
        <v>0</v>
      </c>
      <c r="BB16" s="8">
        <v>0</v>
      </c>
      <c r="BC16">
        <v>0</v>
      </c>
      <c r="BD16" s="8">
        <v>0</v>
      </c>
      <c r="BE16">
        <v>0</v>
      </c>
      <c r="BF16" s="8">
        <v>0</v>
      </c>
      <c r="BG16">
        <v>0</v>
      </c>
      <c r="BH16">
        <v>0</v>
      </c>
      <c r="BI16">
        <v>1</v>
      </c>
      <c r="BJ16">
        <v>1</v>
      </c>
      <c r="BK16">
        <v>0</v>
      </c>
      <c r="BL16" s="8">
        <v>0</v>
      </c>
      <c r="BM16">
        <v>0</v>
      </c>
      <c r="BN16" s="8">
        <v>0</v>
      </c>
      <c r="BO16" s="5">
        <v>0</v>
      </c>
      <c r="BP16">
        <v>0</v>
      </c>
      <c r="BQ16">
        <v>0</v>
      </c>
      <c r="BR16" s="8">
        <v>1</v>
      </c>
      <c r="BS16">
        <v>1</v>
      </c>
      <c r="BT16">
        <v>1</v>
      </c>
      <c r="BU16" s="8">
        <v>1</v>
      </c>
      <c r="BV16">
        <v>0</v>
      </c>
      <c r="BW16">
        <v>0</v>
      </c>
      <c r="BX16" s="8">
        <v>0</v>
      </c>
      <c r="BY16">
        <v>0</v>
      </c>
      <c r="BZ16">
        <v>0</v>
      </c>
      <c r="CA16">
        <v>0</v>
      </c>
    </row>
    <row r="17" spans="1:79" x14ac:dyDescent="0.2">
      <c r="A17" t="s">
        <v>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5">
        <v>1</v>
      </c>
      <c r="I17" s="8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8">
        <v>0</v>
      </c>
      <c r="W17" s="5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s="8">
        <v>0</v>
      </c>
      <c r="AZ17">
        <v>0</v>
      </c>
      <c r="BA17">
        <v>0</v>
      </c>
      <c r="BB17" s="8">
        <v>0</v>
      </c>
      <c r="BC17">
        <v>0</v>
      </c>
      <c r="BD17" s="8">
        <v>0</v>
      </c>
      <c r="BE17">
        <v>0</v>
      </c>
      <c r="BF17" s="8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s="8">
        <v>0</v>
      </c>
      <c r="BM17">
        <v>0</v>
      </c>
      <c r="BN17" s="8">
        <v>0</v>
      </c>
      <c r="BO17" s="5">
        <v>0</v>
      </c>
      <c r="BP17">
        <v>0</v>
      </c>
      <c r="BQ17">
        <v>0</v>
      </c>
      <c r="BR17" s="8">
        <v>1</v>
      </c>
      <c r="BS17">
        <v>0</v>
      </c>
      <c r="BT17">
        <v>0</v>
      </c>
      <c r="BU17" s="8">
        <v>1</v>
      </c>
      <c r="BV17">
        <v>0</v>
      </c>
      <c r="BW17">
        <v>0</v>
      </c>
      <c r="BX17" s="8">
        <v>0</v>
      </c>
      <c r="BY17">
        <v>0</v>
      </c>
      <c r="BZ17">
        <v>0</v>
      </c>
      <c r="CA17">
        <v>0</v>
      </c>
    </row>
    <row r="18" spans="1:79" x14ac:dyDescent="0.2">
      <c r="A18" t="s">
        <v>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5">
        <v>1</v>
      </c>
      <c r="I18" s="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8">
        <v>0</v>
      </c>
      <c r="W18" s="5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s="8">
        <v>0</v>
      </c>
      <c r="AZ18">
        <v>0</v>
      </c>
      <c r="BA18">
        <v>0</v>
      </c>
      <c r="BB18" s="8">
        <v>0</v>
      </c>
      <c r="BC18">
        <v>0</v>
      </c>
      <c r="BD18" s="8">
        <v>0</v>
      </c>
      <c r="BE18">
        <v>0</v>
      </c>
      <c r="BF18" s="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s="8">
        <v>0</v>
      </c>
      <c r="BM18">
        <v>0</v>
      </c>
      <c r="BN18" s="8">
        <v>0</v>
      </c>
      <c r="BO18" s="5">
        <v>0</v>
      </c>
      <c r="BP18">
        <v>0</v>
      </c>
      <c r="BQ18">
        <v>0</v>
      </c>
      <c r="BR18" s="8">
        <v>1</v>
      </c>
      <c r="BS18">
        <v>0</v>
      </c>
      <c r="BT18">
        <v>0</v>
      </c>
      <c r="BU18" s="8">
        <v>1</v>
      </c>
      <c r="BV18">
        <v>0</v>
      </c>
      <c r="BW18">
        <v>0</v>
      </c>
      <c r="BX18" s="8">
        <v>0</v>
      </c>
      <c r="BY18">
        <v>0</v>
      </c>
      <c r="BZ18">
        <v>0</v>
      </c>
      <c r="CA18">
        <v>0</v>
      </c>
    </row>
    <row r="19" spans="1:79" x14ac:dyDescent="0.2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5">
        <v>1</v>
      </c>
      <c r="I19" s="8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8">
        <v>0</v>
      </c>
      <c r="W19" s="5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s="8">
        <v>0</v>
      </c>
      <c r="AZ19">
        <v>0</v>
      </c>
      <c r="BA19">
        <v>0</v>
      </c>
      <c r="BB19" s="8">
        <v>0</v>
      </c>
      <c r="BC19">
        <v>0</v>
      </c>
      <c r="BD19" s="8">
        <v>0</v>
      </c>
      <c r="BE19">
        <v>0</v>
      </c>
      <c r="BF19" s="8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s="8">
        <v>0</v>
      </c>
      <c r="BM19">
        <v>0</v>
      </c>
      <c r="BN19" s="8">
        <v>0</v>
      </c>
      <c r="BO19" s="5">
        <v>0</v>
      </c>
      <c r="BP19">
        <v>0</v>
      </c>
      <c r="BQ19">
        <v>0</v>
      </c>
      <c r="BR19" s="8">
        <v>0</v>
      </c>
      <c r="BS19">
        <v>0</v>
      </c>
      <c r="BT19">
        <v>0</v>
      </c>
      <c r="BU19" s="8">
        <v>1</v>
      </c>
      <c r="BV19">
        <v>0</v>
      </c>
      <c r="BW19">
        <v>0</v>
      </c>
      <c r="BX19" s="8">
        <v>0</v>
      </c>
      <c r="BY19">
        <v>0</v>
      </c>
      <c r="BZ19">
        <v>0</v>
      </c>
      <c r="CA19">
        <v>0</v>
      </c>
    </row>
    <row r="20" spans="1:79" x14ac:dyDescent="0.2">
      <c r="A20" t="s">
        <v>61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5">
        <v>1</v>
      </c>
      <c r="I20" s="8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8">
        <v>0</v>
      </c>
      <c r="W20" s="5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 s="8">
        <v>0</v>
      </c>
      <c r="AZ20">
        <v>0</v>
      </c>
      <c r="BA20">
        <v>0</v>
      </c>
      <c r="BB20" s="8">
        <v>0</v>
      </c>
      <c r="BC20">
        <v>0</v>
      </c>
      <c r="BD20" s="8">
        <v>0</v>
      </c>
      <c r="BE20">
        <v>0</v>
      </c>
      <c r="BF20" s="8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s="8">
        <v>0</v>
      </c>
      <c r="BM20">
        <v>0</v>
      </c>
      <c r="BN20" s="8">
        <v>0</v>
      </c>
      <c r="BO20" s="5">
        <v>0</v>
      </c>
      <c r="BP20">
        <v>0</v>
      </c>
      <c r="BQ20">
        <v>0</v>
      </c>
      <c r="BR20" s="8">
        <v>0</v>
      </c>
      <c r="BS20">
        <v>0</v>
      </c>
      <c r="BT20">
        <v>0</v>
      </c>
      <c r="BU20" s="8">
        <v>0</v>
      </c>
      <c r="BV20">
        <v>0</v>
      </c>
      <c r="BW20">
        <v>0</v>
      </c>
      <c r="BX20" s="8">
        <v>0</v>
      </c>
      <c r="BY20">
        <v>0</v>
      </c>
      <c r="BZ20">
        <v>0</v>
      </c>
      <c r="CA20">
        <v>0</v>
      </c>
    </row>
    <row r="21" spans="1:79" x14ac:dyDescent="0.2">
      <c r="A21" t="s">
        <v>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5">
        <v>1</v>
      </c>
      <c r="I21" s="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8">
        <v>0</v>
      </c>
      <c r="W21" s="5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s="8">
        <v>0</v>
      </c>
      <c r="AZ21">
        <v>0</v>
      </c>
      <c r="BA21">
        <v>0</v>
      </c>
      <c r="BB21" s="8">
        <v>0</v>
      </c>
      <c r="BC21">
        <v>0</v>
      </c>
      <c r="BD21" s="8">
        <v>0</v>
      </c>
      <c r="BE21">
        <v>0</v>
      </c>
      <c r="BF21" s="8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s="8">
        <v>0</v>
      </c>
      <c r="BM21">
        <v>0</v>
      </c>
      <c r="BN21" s="8">
        <v>0</v>
      </c>
      <c r="BO21" s="5">
        <v>0</v>
      </c>
      <c r="BP21">
        <v>0</v>
      </c>
      <c r="BQ21">
        <v>0</v>
      </c>
      <c r="BR21" s="8">
        <v>0</v>
      </c>
      <c r="BS21">
        <v>0</v>
      </c>
      <c r="BT21">
        <v>0</v>
      </c>
      <c r="BU21" s="8">
        <v>0</v>
      </c>
      <c r="BV21">
        <v>0</v>
      </c>
      <c r="BW21">
        <v>0</v>
      </c>
      <c r="BX21" s="8">
        <v>0</v>
      </c>
      <c r="BY21">
        <v>0</v>
      </c>
      <c r="BZ21">
        <v>0</v>
      </c>
      <c r="CA21">
        <v>0</v>
      </c>
    </row>
    <row r="22" spans="1:79" x14ac:dyDescent="0.2">
      <c r="A22" t="s">
        <v>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5">
        <v>1</v>
      </c>
      <c r="I22" s="8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8">
        <v>0</v>
      </c>
      <c r="W22" s="5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s="8">
        <v>0</v>
      </c>
      <c r="AZ22">
        <v>0</v>
      </c>
      <c r="BA22">
        <v>0</v>
      </c>
      <c r="BB22" s="8">
        <v>0</v>
      </c>
      <c r="BC22">
        <v>0</v>
      </c>
      <c r="BD22" s="8">
        <v>0</v>
      </c>
      <c r="BE22">
        <v>0</v>
      </c>
      <c r="BF22" s="8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s="8">
        <v>0</v>
      </c>
      <c r="BM22">
        <v>0</v>
      </c>
      <c r="BN22" s="8">
        <v>0</v>
      </c>
      <c r="BO22" s="5">
        <v>0</v>
      </c>
      <c r="BP22">
        <v>0</v>
      </c>
      <c r="BQ22">
        <v>0</v>
      </c>
      <c r="BR22" s="8">
        <v>0</v>
      </c>
      <c r="BS22">
        <v>0</v>
      </c>
      <c r="BT22">
        <v>0</v>
      </c>
      <c r="BU22" s="8">
        <v>0</v>
      </c>
      <c r="BV22">
        <v>0</v>
      </c>
      <c r="BW22">
        <v>0</v>
      </c>
      <c r="BX22" s="8">
        <v>0</v>
      </c>
      <c r="BY22">
        <v>0</v>
      </c>
      <c r="BZ22">
        <v>0</v>
      </c>
      <c r="CA22">
        <v>0</v>
      </c>
    </row>
    <row r="23" spans="1:79" s="20" customFormat="1" x14ac:dyDescent="0.2">
      <c r="B23" s="20">
        <f>SUM(B3:B22)</f>
        <v>100</v>
      </c>
      <c r="C23" s="20">
        <f t="shared" ref="C23:BU23" si="0">SUM(C3:C22)</f>
        <v>20</v>
      </c>
      <c r="D23" s="20">
        <f t="shared" si="0"/>
        <v>33</v>
      </c>
      <c r="E23" s="20">
        <f t="shared" si="0"/>
        <v>68</v>
      </c>
      <c r="F23" s="20">
        <f t="shared" si="0"/>
        <v>3</v>
      </c>
      <c r="G23" s="20">
        <f t="shared" si="0"/>
        <v>178</v>
      </c>
      <c r="H23" s="6">
        <f t="shared" si="0"/>
        <v>10</v>
      </c>
      <c r="I23" s="9">
        <f>SUM(I3:I22)</f>
        <v>6</v>
      </c>
      <c r="J23" s="20">
        <f t="shared" si="0"/>
        <v>8</v>
      </c>
      <c r="K23" s="20">
        <f t="shared" si="0"/>
        <v>1</v>
      </c>
      <c r="L23" s="20">
        <f t="shared" si="0"/>
        <v>1</v>
      </c>
      <c r="M23" s="20">
        <f t="shared" ref="M23:V23" si="1">SUM(M3:M22)</f>
        <v>1</v>
      </c>
      <c r="N23" s="20">
        <f t="shared" si="1"/>
        <v>1</v>
      </c>
      <c r="O23" s="20">
        <f t="shared" si="1"/>
        <v>2</v>
      </c>
      <c r="P23" s="20">
        <f t="shared" si="1"/>
        <v>3</v>
      </c>
      <c r="Q23" s="20">
        <f t="shared" si="1"/>
        <v>1</v>
      </c>
      <c r="R23" s="20">
        <f t="shared" si="1"/>
        <v>1</v>
      </c>
      <c r="S23" s="20">
        <f t="shared" si="1"/>
        <v>1</v>
      </c>
      <c r="T23" s="20">
        <f t="shared" si="1"/>
        <v>5</v>
      </c>
      <c r="U23" s="20">
        <f t="shared" si="1"/>
        <v>4</v>
      </c>
      <c r="V23" s="9">
        <f t="shared" si="1"/>
        <v>2</v>
      </c>
      <c r="W23" s="6">
        <f t="shared" si="0"/>
        <v>3</v>
      </c>
      <c r="X23" s="20">
        <f t="shared" ref="X23:AY23" si="2">SUM(X3:X22)</f>
        <v>2</v>
      </c>
      <c r="Y23" s="20">
        <f t="shared" si="2"/>
        <v>2</v>
      </c>
      <c r="Z23" s="20">
        <f t="shared" si="2"/>
        <v>1</v>
      </c>
      <c r="AA23" s="20">
        <f t="shared" si="2"/>
        <v>1</v>
      </c>
      <c r="AB23" s="20">
        <f t="shared" si="2"/>
        <v>8</v>
      </c>
      <c r="AC23" s="20">
        <f t="shared" si="2"/>
        <v>30</v>
      </c>
      <c r="AD23" s="20">
        <f t="shared" si="2"/>
        <v>1</v>
      </c>
      <c r="AE23" s="20">
        <f t="shared" si="2"/>
        <v>3</v>
      </c>
      <c r="AF23" s="20">
        <f t="shared" si="2"/>
        <v>1</v>
      </c>
      <c r="AG23" s="20">
        <f t="shared" si="2"/>
        <v>1</v>
      </c>
      <c r="AH23" s="20">
        <f t="shared" si="2"/>
        <v>1</v>
      </c>
      <c r="AI23" s="20">
        <f t="shared" si="2"/>
        <v>1</v>
      </c>
      <c r="AJ23" s="20">
        <f t="shared" si="2"/>
        <v>1</v>
      </c>
      <c r="AK23" s="20">
        <f t="shared" si="2"/>
        <v>1</v>
      </c>
      <c r="AL23" s="20">
        <f t="shared" si="2"/>
        <v>1</v>
      </c>
      <c r="AM23" s="20">
        <f t="shared" si="2"/>
        <v>1</v>
      </c>
      <c r="AN23" s="20">
        <f t="shared" si="2"/>
        <v>1</v>
      </c>
      <c r="AO23" s="20">
        <f t="shared" si="2"/>
        <v>1</v>
      </c>
      <c r="AP23" s="20">
        <f t="shared" si="2"/>
        <v>1</v>
      </c>
      <c r="AQ23" s="20">
        <f t="shared" si="2"/>
        <v>5</v>
      </c>
      <c r="AR23" s="20">
        <f t="shared" si="2"/>
        <v>1</v>
      </c>
      <c r="AS23" s="20">
        <f t="shared" si="2"/>
        <v>2</v>
      </c>
      <c r="AT23" s="20">
        <f t="shared" si="2"/>
        <v>1</v>
      </c>
      <c r="AU23" s="20">
        <f t="shared" si="2"/>
        <v>2</v>
      </c>
      <c r="AV23" s="20">
        <f t="shared" si="2"/>
        <v>1</v>
      </c>
      <c r="AW23" s="20">
        <f t="shared" si="2"/>
        <v>1</v>
      </c>
      <c r="AX23" s="20">
        <f t="shared" si="2"/>
        <v>1</v>
      </c>
      <c r="AY23" s="9">
        <f t="shared" si="2"/>
        <v>1</v>
      </c>
      <c r="AZ23" s="20">
        <f t="shared" si="0"/>
        <v>1</v>
      </c>
      <c r="BA23" s="20">
        <f t="shared" si="0"/>
        <v>2</v>
      </c>
      <c r="BB23" s="9">
        <f>SUM(BB3:BB22)</f>
        <v>1</v>
      </c>
      <c r="BC23" s="20">
        <f t="shared" si="0"/>
        <v>4</v>
      </c>
      <c r="BD23" s="9">
        <f t="shared" si="0"/>
        <v>1</v>
      </c>
      <c r="BE23" s="20">
        <f t="shared" si="0"/>
        <v>1</v>
      </c>
      <c r="BF23" s="9">
        <f t="shared" si="0"/>
        <v>1</v>
      </c>
      <c r="BG23" s="20">
        <f>SUM(BG3:BG22)</f>
        <v>1</v>
      </c>
      <c r="BH23" s="20">
        <f t="shared" si="0"/>
        <v>1</v>
      </c>
      <c r="BI23" s="20">
        <f>SUM(BI3:BI22)</f>
        <v>2</v>
      </c>
      <c r="BJ23" s="20">
        <f>SUM(BJ3:BJ22)</f>
        <v>4</v>
      </c>
      <c r="BK23" s="20">
        <f>SUM(BK3:BK22)</f>
        <v>5</v>
      </c>
      <c r="BL23" s="9">
        <f>SUM(BL3:BL22)</f>
        <v>1</v>
      </c>
      <c r="BM23" s="20">
        <f>SUM(BM3:BM22)</f>
        <v>1</v>
      </c>
      <c r="BN23" s="9">
        <f t="shared" si="0"/>
        <v>1</v>
      </c>
      <c r="BO23" s="6">
        <f>SUM(BO3:BO22)</f>
        <v>1</v>
      </c>
      <c r="BP23" s="20">
        <f t="shared" si="0"/>
        <v>2</v>
      </c>
      <c r="BQ23" s="20">
        <f t="shared" si="0"/>
        <v>2</v>
      </c>
      <c r="BR23" s="9">
        <f>SUM(BR3:BR22)</f>
        <v>4</v>
      </c>
      <c r="BS23" s="20">
        <f>SUM(BS3:BS22)</f>
        <v>3</v>
      </c>
      <c r="BT23" s="20">
        <f t="shared" si="0"/>
        <v>3</v>
      </c>
      <c r="BU23" s="9">
        <f t="shared" si="0"/>
        <v>6</v>
      </c>
      <c r="BV23" s="20">
        <f>SUM(BV3:BV22)</f>
        <v>1</v>
      </c>
      <c r="BW23" s="20">
        <f t="shared" ref="BW23" si="3">SUM(BW3:BW22)</f>
        <v>1</v>
      </c>
      <c r="BX23" s="9">
        <f>SUM(BX3:BX22)</f>
        <v>1</v>
      </c>
      <c r="BY23" s="20">
        <f>SUM(BY3:BY22)</f>
        <v>1</v>
      </c>
      <c r="BZ23" s="20">
        <f>SUM(BZ3:BZ22)</f>
        <v>1</v>
      </c>
      <c r="CA23" s="20">
        <f>SUM(CA3:CA22)</f>
        <v>1</v>
      </c>
    </row>
    <row r="24" spans="1:79" ht="30" customHeight="1" x14ac:dyDescent="0.2">
      <c r="H24" s="24">
        <f>SUM(H23:I23)</f>
        <v>16</v>
      </c>
      <c r="I24" s="24"/>
      <c r="J24" s="24">
        <f>SUM(J23:V23)</f>
        <v>31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/>
      <c r="W24" s="26">
        <f>SUM(W23:AY23)</f>
        <v>77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>
        <f>SUM(AZ23:BB23)</f>
        <v>4</v>
      </c>
      <c r="BA24" s="24"/>
      <c r="BB24" s="24"/>
      <c r="BC24" s="24">
        <f>SUM(BC23:BD23)</f>
        <v>5</v>
      </c>
      <c r="BD24" s="24"/>
      <c r="BE24" s="24">
        <v>2</v>
      </c>
      <c r="BF24" s="24"/>
      <c r="BG24" s="24">
        <f>SUM(BG23:BL23)</f>
        <v>14</v>
      </c>
      <c r="BH24" s="24"/>
      <c r="BI24" s="24"/>
      <c r="BJ24" s="24"/>
      <c r="BK24" s="24"/>
      <c r="BL24" s="24"/>
      <c r="BM24" s="24">
        <v>2</v>
      </c>
      <c r="BN24" s="25"/>
      <c r="BO24" s="26">
        <f>SUM(BO23:BR23)</f>
        <v>9</v>
      </c>
      <c r="BP24" s="24"/>
      <c r="BQ24" s="24"/>
      <c r="BR24" s="25"/>
      <c r="BS24" s="26">
        <f>SUM(BS23:BU23)</f>
        <v>12</v>
      </c>
      <c r="BT24" s="24"/>
      <c r="BU24" s="25"/>
      <c r="BV24" s="26">
        <v>3</v>
      </c>
      <c r="BW24" s="24"/>
      <c r="BX24" s="25"/>
    </row>
  </sheetData>
  <mergeCells count="22">
    <mergeCell ref="BO1:BR1"/>
    <mergeCell ref="AZ1:BB1"/>
    <mergeCell ref="BC1:BD1"/>
    <mergeCell ref="BE1:BF1"/>
    <mergeCell ref="BG1:BL1"/>
    <mergeCell ref="BM1:BN1"/>
    <mergeCell ref="BS1:BU1"/>
    <mergeCell ref="BV1:BX1"/>
    <mergeCell ref="H24:I24"/>
    <mergeCell ref="J24:V24"/>
    <mergeCell ref="W24:AY24"/>
    <mergeCell ref="AZ24:BB24"/>
    <mergeCell ref="BC24:BD24"/>
    <mergeCell ref="BE24:BF24"/>
    <mergeCell ref="BG24:BL24"/>
    <mergeCell ref="BM24:BN24"/>
    <mergeCell ref="BO24:BR24"/>
    <mergeCell ref="BS24:BU24"/>
    <mergeCell ref="BV24:BX24"/>
    <mergeCell ref="H1:I1"/>
    <mergeCell ref="J1:V1"/>
    <mergeCell ref="W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refusals_"other" collapsed</vt:lpstr>
      <vt:lpstr>Raw refusals_"other" expanded</vt:lpstr>
      <vt:lpstr>Recoded refusals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</dc:creator>
  <cp:lastModifiedBy>Fine, Sydney</cp:lastModifiedBy>
  <dcterms:created xsi:type="dcterms:W3CDTF">2024-12-10T15:44:51Z</dcterms:created>
  <dcterms:modified xsi:type="dcterms:W3CDTF">2025-01-16T21:35:49Z</dcterms:modified>
</cp:coreProperties>
</file>