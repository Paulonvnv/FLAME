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Baseline visit/IND and HH Surveys/"/>
    </mc:Choice>
  </mc:AlternateContent>
  <xr:revisionPtr revIDLastSave="0" documentId="13_ncr:1_{8B93A939-F65A-C14F-9E7D-1C0AEBC700FA}" xr6:coauthVersionLast="47" xr6:coauthVersionMax="47" xr10:uidLastSave="{00000000-0000-0000-0000-000000000000}"/>
  <bookViews>
    <workbookView xWindow="19780" yWindow="2000" windowWidth="16120" windowHeight="17160" xr2:uid="{FB98C864-9031-5B4D-AFB6-24D99DCA3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9" i="1"/>
  <c r="H30" i="1"/>
  <c r="H31" i="1"/>
  <c r="G27" i="1"/>
  <c r="G28" i="1"/>
  <c r="G29" i="1"/>
  <c r="G30" i="1"/>
  <c r="G31" i="1"/>
  <c r="D31" i="1"/>
  <c r="D30" i="1"/>
  <c r="D29" i="1"/>
  <c r="D28" i="1"/>
  <c r="H27" i="1"/>
  <c r="D27" i="1"/>
  <c r="G26" i="1"/>
  <c r="H26" i="1"/>
  <c r="D26" i="1"/>
  <c r="G25" i="1"/>
  <c r="H25" i="1" s="1"/>
  <c r="D25" i="1"/>
  <c r="G24" i="1"/>
  <c r="H24" i="1" s="1"/>
  <c r="D24" i="1"/>
  <c r="G23" i="1"/>
  <c r="H23" i="1"/>
  <c r="D23" i="1"/>
  <c r="G22" i="1"/>
  <c r="H22" i="1" s="1"/>
  <c r="D22" i="1"/>
  <c r="D21" i="1"/>
  <c r="G21" i="1"/>
  <c r="H21" i="1" s="1"/>
  <c r="D20" i="1"/>
  <c r="G20" i="1"/>
  <c r="H20" i="1" s="1"/>
  <c r="G19" i="1"/>
  <c r="H19" i="1" s="1"/>
  <c r="D19" i="1"/>
  <c r="H2" i="1"/>
  <c r="D18" i="1"/>
  <c r="G18" i="1"/>
  <c r="H18" i="1" s="1"/>
  <c r="D17" i="1"/>
  <c r="G17" i="1"/>
  <c r="H17" i="1" s="1"/>
  <c r="D16" i="1"/>
  <c r="G16" i="1"/>
  <c r="H16" i="1" s="1"/>
  <c r="D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D4" i="1"/>
  <c r="D5" i="1"/>
  <c r="D6" i="1"/>
  <c r="D7" i="1"/>
  <c r="D8" i="1"/>
  <c r="D9" i="1"/>
  <c r="D10" i="1"/>
  <c r="D11" i="1"/>
  <c r="D12" i="1"/>
  <c r="D13" i="1"/>
  <c r="D14" i="1"/>
  <c r="D15" i="1"/>
  <c r="D3" i="1"/>
</calcChain>
</file>

<file path=xl/sharedStrings.xml><?xml version="1.0" encoding="utf-8"?>
<sst xmlns="http://schemas.openxmlformats.org/spreadsheetml/2006/main" count="38" uniqueCount="38">
  <si>
    <t>Palo Seco</t>
  </si>
  <si>
    <t>Puerto Almendra</t>
  </si>
  <si>
    <t>Zungarococha</t>
  </si>
  <si>
    <t>Nina Rumi</t>
  </si>
  <si>
    <t>Nuevo Milagro</t>
  </si>
  <si>
    <t>Moralillo</t>
  </si>
  <si>
    <t>San Antonio-SJB</t>
  </si>
  <si>
    <t>Momoncillo</t>
  </si>
  <si>
    <t>San Antonio- Punchana</t>
  </si>
  <si>
    <t xml:space="preserve">Paujil I </t>
  </si>
  <si>
    <t>Libertad</t>
  </si>
  <si>
    <t>Fray Martin</t>
  </si>
  <si>
    <t>Tarapoto</t>
  </si>
  <si>
    <t>Loboyacu</t>
  </si>
  <si>
    <t>HH enrolled</t>
  </si>
  <si>
    <t>Total HH</t>
  </si>
  <si>
    <t>IND enrolled</t>
  </si>
  <si>
    <t>Total IND</t>
  </si>
  <si>
    <t>Community</t>
  </si>
  <si>
    <t>PCT HH Enrolled</t>
  </si>
  <si>
    <t>PCT IND Enrolled</t>
  </si>
  <si>
    <t>refused</t>
  </si>
  <si>
    <t xml:space="preserve">13 de Febrero </t>
  </si>
  <si>
    <t>Pena Negra</t>
  </si>
  <si>
    <t>Nuevo Horizonte</t>
  </si>
  <si>
    <t>Ex petrolero</t>
  </si>
  <si>
    <t>Cahuide</t>
  </si>
  <si>
    <t>San Lucas</t>
  </si>
  <si>
    <t>Huaturi</t>
  </si>
  <si>
    <t>Nuevo San Antonio</t>
  </si>
  <si>
    <t>Almirante Miguel Grau</t>
  </si>
  <si>
    <t>Santo tomas</t>
  </si>
  <si>
    <t>Flor de Agosto</t>
  </si>
  <si>
    <t>Samito</t>
  </si>
  <si>
    <t>Pisco</t>
  </si>
  <si>
    <t xml:space="preserve">Diamante </t>
  </si>
  <si>
    <t>Salvador</t>
  </si>
  <si>
    <t>Mishana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</si>
</sst>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right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2" fontId="2" fillId="0" borderId="0" xfId="0" applyNumberFormat="1" applyFont="1" applyAlignment="1">
      <alignment horizontal="right" vertical="center" wrapText="1" readingOrder="1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B705-29F1-884C-ABCB-F02978FE8572}">
  <dimension ref="A1:H31"/>
  <sheetViews>
    <sheetView tabSelected="1" topLeftCell="A4" workbookViewId="0">
      <selection activeCell="I30" sqref="I30"/>
    </sheetView>
  </sheetViews>
  <sheetFormatPr baseColWidth="10" defaultColWidth="25.1640625" defaultRowHeight="16" x14ac:dyDescent="0.2"/>
  <cols>
    <col min="2" max="2" width="12.1640625" bestFit="1" customWidth="1"/>
    <col min="3" max="3" width="9.1640625" bestFit="1" customWidth="1"/>
    <col min="4" max="4" width="17" bestFit="1" customWidth="1"/>
    <col min="5" max="5" width="11.33203125" bestFit="1" customWidth="1"/>
    <col min="6" max="6" width="8" bestFit="1" customWidth="1"/>
    <col min="7" max="7" width="8.6640625" bestFit="1" customWidth="1"/>
    <col min="8" max="8" width="17.5" style="7" bestFit="1" customWidth="1"/>
  </cols>
  <sheetData>
    <row r="1" spans="1:8" ht="18" thickBot="1" x14ac:dyDescent="0.25">
      <c r="A1" s="2" t="s">
        <v>18</v>
      </c>
      <c r="B1" s="3" t="s">
        <v>14</v>
      </c>
      <c r="C1" s="3" t="s">
        <v>15</v>
      </c>
      <c r="D1" s="3" t="s">
        <v>19</v>
      </c>
      <c r="E1" t="s">
        <v>16</v>
      </c>
      <c r="F1" s="3" t="s">
        <v>21</v>
      </c>
      <c r="G1" t="s">
        <v>17</v>
      </c>
      <c r="H1" s="6" t="s">
        <v>20</v>
      </c>
    </row>
    <row r="2" spans="1:8" ht="18" thickBot="1" x14ac:dyDescent="0.25">
      <c r="A2" s="2" t="s">
        <v>0</v>
      </c>
      <c r="B2" s="4">
        <v>19</v>
      </c>
      <c r="C2" s="4">
        <v>21</v>
      </c>
      <c r="D2">
        <f>(B2/C2)*100</f>
        <v>90.476190476190482</v>
      </c>
      <c r="E2">
        <v>33</v>
      </c>
      <c r="G2">
        <v>49</v>
      </c>
      <c r="H2" s="6">
        <f>(E2/G2)*100</f>
        <v>67.346938775510196</v>
      </c>
    </row>
    <row r="3" spans="1:8" ht="28" customHeight="1" thickBot="1" x14ac:dyDescent="0.25">
      <c r="A3" s="1" t="s">
        <v>1</v>
      </c>
      <c r="B3">
        <v>51</v>
      </c>
      <c r="C3">
        <v>55</v>
      </c>
      <c r="D3">
        <f>(B3/C3)*100</f>
        <v>92.72727272727272</v>
      </c>
      <c r="E3">
        <v>127</v>
      </c>
      <c r="F3">
        <v>110</v>
      </c>
      <c r="G3">
        <f t="shared" ref="G3:G31" si="0">E3+F3</f>
        <v>237</v>
      </c>
      <c r="H3" s="6">
        <f t="shared" ref="H3:H31" si="1">(E3/G3)*100</f>
        <v>53.586497890295362</v>
      </c>
    </row>
    <row r="4" spans="1:8" ht="18" thickBot="1" x14ac:dyDescent="0.25">
      <c r="A4" s="1" t="s">
        <v>2</v>
      </c>
      <c r="B4">
        <v>186</v>
      </c>
      <c r="C4">
        <v>202</v>
      </c>
      <c r="D4">
        <f t="shared" ref="D4:D31" si="2">(B4/C4)*100</f>
        <v>92.079207920792086</v>
      </c>
      <c r="E4">
        <v>514</v>
      </c>
      <c r="F4">
        <v>346</v>
      </c>
      <c r="G4">
        <f t="shared" si="0"/>
        <v>860</v>
      </c>
      <c r="H4" s="6">
        <f t="shared" si="1"/>
        <v>59.767441860465119</v>
      </c>
    </row>
    <row r="5" spans="1:8" ht="18" thickBot="1" x14ac:dyDescent="0.25">
      <c r="A5" s="1" t="s">
        <v>3</v>
      </c>
      <c r="B5">
        <v>186</v>
      </c>
      <c r="C5">
        <v>233</v>
      </c>
      <c r="D5">
        <f t="shared" si="2"/>
        <v>79.82832618025752</v>
      </c>
      <c r="E5">
        <v>496</v>
      </c>
      <c r="F5">
        <v>424</v>
      </c>
      <c r="G5">
        <f t="shared" si="0"/>
        <v>920</v>
      </c>
      <c r="H5" s="6">
        <f t="shared" si="1"/>
        <v>53.913043478260867</v>
      </c>
    </row>
    <row r="6" spans="1:8" ht="18" thickBot="1" x14ac:dyDescent="0.25">
      <c r="A6" s="1" t="s">
        <v>4</v>
      </c>
      <c r="B6">
        <v>48</v>
      </c>
      <c r="C6">
        <v>51</v>
      </c>
      <c r="D6">
        <f t="shared" si="2"/>
        <v>94.117647058823522</v>
      </c>
      <c r="E6">
        <v>121</v>
      </c>
      <c r="F6">
        <v>74</v>
      </c>
      <c r="G6">
        <f t="shared" si="0"/>
        <v>195</v>
      </c>
      <c r="H6" s="6">
        <f t="shared" si="1"/>
        <v>62.051282051282051</v>
      </c>
    </row>
    <row r="7" spans="1:8" ht="18" thickBot="1" x14ac:dyDescent="0.25">
      <c r="A7" s="1" t="s">
        <v>5</v>
      </c>
      <c r="B7">
        <v>42</v>
      </c>
      <c r="C7">
        <v>48</v>
      </c>
      <c r="D7">
        <f t="shared" si="2"/>
        <v>87.5</v>
      </c>
      <c r="E7">
        <v>101</v>
      </c>
      <c r="F7">
        <v>34</v>
      </c>
      <c r="G7">
        <f t="shared" si="0"/>
        <v>135</v>
      </c>
      <c r="H7" s="6">
        <f t="shared" si="1"/>
        <v>74.81481481481481</v>
      </c>
    </row>
    <row r="8" spans="1:8" ht="18" thickBot="1" x14ac:dyDescent="0.25">
      <c r="A8" s="1" t="s">
        <v>6</v>
      </c>
      <c r="B8">
        <v>42</v>
      </c>
      <c r="C8">
        <v>53</v>
      </c>
      <c r="D8">
        <f t="shared" si="2"/>
        <v>79.245283018867923</v>
      </c>
      <c r="E8">
        <v>88</v>
      </c>
      <c r="F8">
        <v>65</v>
      </c>
      <c r="G8">
        <f t="shared" si="0"/>
        <v>153</v>
      </c>
      <c r="H8" s="6">
        <f t="shared" si="1"/>
        <v>57.51633986928104</v>
      </c>
    </row>
    <row r="9" spans="1:8" ht="18" thickBot="1" x14ac:dyDescent="0.25">
      <c r="A9" s="1" t="s">
        <v>7</v>
      </c>
      <c r="B9">
        <v>33</v>
      </c>
      <c r="C9">
        <v>35</v>
      </c>
      <c r="D9">
        <f t="shared" si="2"/>
        <v>94.285714285714278</v>
      </c>
      <c r="E9">
        <v>86</v>
      </c>
      <c r="F9">
        <v>61</v>
      </c>
      <c r="G9">
        <f t="shared" si="0"/>
        <v>147</v>
      </c>
      <c r="H9" s="6">
        <f t="shared" si="1"/>
        <v>58.503401360544217</v>
      </c>
    </row>
    <row r="10" spans="1:8" ht="18" thickBot="1" x14ac:dyDescent="0.25">
      <c r="A10" s="1" t="s">
        <v>8</v>
      </c>
      <c r="B10">
        <v>36</v>
      </c>
      <c r="C10">
        <v>42</v>
      </c>
      <c r="D10">
        <f t="shared" si="2"/>
        <v>85.714285714285708</v>
      </c>
      <c r="E10">
        <v>82</v>
      </c>
      <c r="F10">
        <v>78</v>
      </c>
      <c r="G10">
        <f t="shared" si="0"/>
        <v>160</v>
      </c>
      <c r="H10" s="6">
        <f t="shared" si="1"/>
        <v>51.249999999999993</v>
      </c>
    </row>
    <row r="11" spans="1:8" ht="18" thickBot="1" x14ac:dyDescent="0.25">
      <c r="A11" s="1" t="s">
        <v>9</v>
      </c>
      <c r="B11">
        <v>28</v>
      </c>
      <c r="C11">
        <v>28</v>
      </c>
      <c r="D11">
        <f t="shared" si="2"/>
        <v>100</v>
      </c>
      <c r="E11">
        <v>83</v>
      </c>
      <c r="F11">
        <v>34</v>
      </c>
      <c r="G11">
        <f t="shared" si="0"/>
        <v>117</v>
      </c>
      <c r="H11" s="6">
        <f t="shared" si="1"/>
        <v>70.940170940170944</v>
      </c>
    </row>
    <row r="12" spans="1:8" ht="18" thickBot="1" x14ac:dyDescent="0.25">
      <c r="A12" s="1" t="s">
        <v>10</v>
      </c>
      <c r="B12">
        <v>48</v>
      </c>
      <c r="C12">
        <v>52</v>
      </c>
      <c r="D12">
        <f t="shared" si="2"/>
        <v>92.307692307692307</v>
      </c>
      <c r="E12">
        <v>147</v>
      </c>
      <c r="F12">
        <v>49</v>
      </c>
      <c r="G12">
        <f t="shared" si="0"/>
        <v>196</v>
      </c>
      <c r="H12" s="6">
        <f t="shared" si="1"/>
        <v>75</v>
      </c>
    </row>
    <row r="13" spans="1:8" ht="18" thickBot="1" x14ac:dyDescent="0.25">
      <c r="A13" s="1" t="s">
        <v>11</v>
      </c>
      <c r="B13">
        <v>30</v>
      </c>
      <c r="C13">
        <v>36</v>
      </c>
      <c r="D13">
        <f t="shared" si="2"/>
        <v>83.333333333333343</v>
      </c>
      <c r="E13">
        <v>75</v>
      </c>
      <c r="F13">
        <v>39</v>
      </c>
      <c r="G13">
        <f t="shared" si="0"/>
        <v>114</v>
      </c>
      <c r="H13" s="6">
        <f t="shared" si="1"/>
        <v>65.789473684210535</v>
      </c>
    </row>
    <row r="14" spans="1:8" ht="18" thickBot="1" x14ac:dyDescent="0.25">
      <c r="A14" s="1" t="s">
        <v>12</v>
      </c>
      <c r="B14">
        <v>44</v>
      </c>
      <c r="C14">
        <v>44</v>
      </c>
      <c r="D14">
        <f t="shared" si="2"/>
        <v>100</v>
      </c>
      <c r="E14">
        <v>126</v>
      </c>
      <c r="F14">
        <v>45</v>
      </c>
      <c r="G14">
        <f t="shared" si="0"/>
        <v>171</v>
      </c>
      <c r="H14" s="6">
        <f t="shared" si="1"/>
        <v>73.68421052631578</v>
      </c>
    </row>
    <row r="15" spans="1:8" ht="18" thickBot="1" x14ac:dyDescent="0.25">
      <c r="A15" s="1" t="s">
        <v>13</v>
      </c>
      <c r="B15">
        <v>11</v>
      </c>
      <c r="C15">
        <v>15</v>
      </c>
      <c r="D15">
        <f t="shared" si="2"/>
        <v>73.333333333333329</v>
      </c>
      <c r="E15">
        <v>32</v>
      </c>
      <c r="F15">
        <v>31</v>
      </c>
      <c r="G15">
        <f t="shared" si="0"/>
        <v>63</v>
      </c>
      <c r="H15" s="6">
        <f t="shared" si="1"/>
        <v>50.793650793650791</v>
      </c>
    </row>
    <row r="16" spans="1:8" ht="17" x14ac:dyDescent="0.2">
      <c r="A16" s="5" t="s">
        <v>23</v>
      </c>
      <c r="B16">
        <v>165</v>
      </c>
      <c r="C16">
        <v>185</v>
      </c>
      <c r="D16">
        <f t="shared" si="2"/>
        <v>89.189189189189193</v>
      </c>
      <c r="E16">
        <v>380</v>
      </c>
      <c r="F16">
        <v>374</v>
      </c>
      <c r="G16">
        <f t="shared" si="0"/>
        <v>754</v>
      </c>
      <c r="H16" s="6">
        <f t="shared" si="1"/>
        <v>50.397877984084886</v>
      </c>
    </row>
    <row r="17" spans="1:8" ht="17" x14ac:dyDescent="0.2">
      <c r="A17" s="5" t="s">
        <v>22</v>
      </c>
      <c r="B17">
        <v>152</v>
      </c>
      <c r="C17">
        <v>164</v>
      </c>
      <c r="D17">
        <f t="shared" si="2"/>
        <v>92.682926829268297</v>
      </c>
      <c r="E17">
        <v>359</v>
      </c>
      <c r="F17">
        <v>267</v>
      </c>
      <c r="G17">
        <f t="shared" si="0"/>
        <v>626</v>
      </c>
      <c r="H17" s="6">
        <f t="shared" si="1"/>
        <v>57.348242811501592</v>
      </c>
    </row>
    <row r="18" spans="1:8" ht="17" x14ac:dyDescent="0.2">
      <c r="A18" s="5" t="s">
        <v>24</v>
      </c>
      <c r="B18">
        <v>54</v>
      </c>
      <c r="C18">
        <v>67</v>
      </c>
      <c r="D18">
        <f t="shared" si="2"/>
        <v>80.597014925373131</v>
      </c>
      <c r="E18">
        <v>112</v>
      </c>
      <c r="F18">
        <v>104</v>
      </c>
      <c r="G18">
        <f t="shared" si="0"/>
        <v>216</v>
      </c>
      <c r="H18" s="6">
        <f t="shared" si="1"/>
        <v>51.851851851851848</v>
      </c>
    </row>
    <row r="19" spans="1:8" ht="17" x14ac:dyDescent="0.2">
      <c r="A19" s="5" t="s">
        <v>25</v>
      </c>
      <c r="B19">
        <v>167</v>
      </c>
      <c r="C19">
        <v>191</v>
      </c>
      <c r="D19">
        <f t="shared" si="2"/>
        <v>87.434554973821989</v>
      </c>
      <c r="E19">
        <v>385</v>
      </c>
      <c r="F19">
        <v>355</v>
      </c>
      <c r="G19">
        <f t="shared" si="0"/>
        <v>740</v>
      </c>
      <c r="H19" s="6">
        <f t="shared" si="1"/>
        <v>52.027027027027032</v>
      </c>
    </row>
    <row r="20" spans="1:8" ht="17" x14ac:dyDescent="0.2">
      <c r="A20" s="5" t="s">
        <v>27</v>
      </c>
      <c r="B20">
        <v>66</v>
      </c>
      <c r="C20">
        <v>69</v>
      </c>
      <c r="D20">
        <f t="shared" si="2"/>
        <v>95.652173913043484</v>
      </c>
      <c r="E20">
        <v>150</v>
      </c>
      <c r="F20">
        <v>78</v>
      </c>
      <c r="G20">
        <f t="shared" si="0"/>
        <v>228</v>
      </c>
      <c r="H20" s="7">
        <f t="shared" si="1"/>
        <v>65.789473684210535</v>
      </c>
    </row>
    <row r="21" spans="1:8" ht="17" x14ac:dyDescent="0.2">
      <c r="A21" s="5" t="s">
        <v>26</v>
      </c>
      <c r="B21">
        <v>182</v>
      </c>
      <c r="C21">
        <v>188</v>
      </c>
      <c r="D21">
        <f t="shared" si="2"/>
        <v>96.808510638297875</v>
      </c>
      <c r="E21">
        <v>399</v>
      </c>
      <c r="F21">
        <v>366</v>
      </c>
      <c r="G21">
        <f t="shared" si="0"/>
        <v>765</v>
      </c>
      <c r="H21" s="7">
        <f t="shared" si="1"/>
        <v>52.156862745098046</v>
      </c>
    </row>
    <row r="22" spans="1:8" ht="17" x14ac:dyDescent="0.2">
      <c r="A22" s="5" t="s">
        <v>28</v>
      </c>
      <c r="B22">
        <v>32</v>
      </c>
      <c r="C22">
        <v>35</v>
      </c>
      <c r="D22">
        <f t="shared" si="2"/>
        <v>91.428571428571431</v>
      </c>
      <c r="E22">
        <v>67</v>
      </c>
      <c r="F22">
        <v>57</v>
      </c>
      <c r="G22">
        <f t="shared" si="0"/>
        <v>124</v>
      </c>
      <c r="H22" s="7">
        <f t="shared" si="1"/>
        <v>54.032258064516128</v>
      </c>
    </row>
    <row r="23" spans="1:8" ht="17" x14ac:dyDescent="0.2">
      <c r="A23" s="5" t="s">
        <v>29</v>
      </c>
      <c r="B23">
        <v>13</v>
      </c>
      <c r="C23">
        <v>14</v>
      </c>
      <c r="D23">
        <f t="shared" si="2"/>
        <v>92.857142857142861</v>
      </c>
      <c r="E23">
        <v>34</v>
      </c>
      <c r="F23">
        <v>12</v>
      </c>
      <c r="G23">
        <f t="shared" si="0"/>
        <v>46</v>
      </c>
      <c r="H23" s="7">
        <f t="shared" si="1"/>
        <v>73.91304347826086</v>
      </c>
    </row>
    <row r="24" spans="1:8" ht="17" x14ac:dyDescent="0.2">
      <c r="A24" s="5" t="s">
        <v>30</v>
      </c>
      <c r="B24">
        <v>4</v>
      </c>
      <c r="C24">
        <v>4</v>
      </c>
      <c r="D24">
        <f t="shared" si="2"/>
        <v>100</v>
      </c>
      <c r="E24">
        <v>17</v>
      </c>
      <c r="F24">
        <v>10</v>
      </c>
      <c r="G24">
        <f t="shared" si="0"/>
        <v>27</v>
      </c>
      <c r="H24" s="7">
        <f t="shared" si="1"/>
        <v>62.962962962962962</v>
      </c>
    </row>
    <row r="25" spans="1:8" ht="17" x14ac:dyDescent="0.2">
      <c r="A25" s="5" t="s">
        <v>31</v>
      </c>
      <c r="B25">
        <v>13</v>
      </c>
      <c r="C25">
        <v>15</v>
      </c>
      <c r="D25">
        <f t="shared" si="2"/>
        <v>86.666666666666671</v>
      </c>
      <c r="E25">
        <v>31</v>
      </c>
      <c r="F25">
        <v>16</v>
      </c>
      <c r="G25">
        <f t="shared" si="0"/>
        <v>47</v>
      </c>
      <c r="H25" s="7">
        <f t="shared" si="1"/>
        <v>65.957446808510639</v>
      </c>
    </row>
    <row r="26" spans="1:8" ht="17" x14ac:dyDescent="0.2">
      <c r="A26" s="5" t="s">
        <v>32</v>
      </c>
      <c r="B26">
        <v>11</v>
      </c>
      <c r="C26">
        <v>11</v>
      </c>
      <c r="D26">
        <f t="shared" si="2"/>
        <v>100</v>
      </c>
      <c r="E26">
        <v>23</v>
      </c>
      <c r="F26">
        <v>9</v>
      </c>
      <c r="G26">
        <f t="shared" si="0"/>
        <v>32</v>
      </c>
      <c r="H26" s="7">
        <f t="shared" si="1"/>
        <v>71.875</v>
      </c>
    </row>
    <row r="27" spans="1:8" ht="17" x14ac:dyDescent="0.2">
      <c r="A27" s="5" t="s">
        <v>33</v>
      </c>
      <c r="B27">
        <v>77</v>
      </c>
      <c r="C27">
        <v>80</v>
      </c>
      <c r="D27">
        <f t="shared" si="2"/>
        <v>96.25</v>
      </c>
      <c r="E27">
        <v>169</v>
      </c>
      <c r="F27">
        <v>110</v>
      </c>
      <c r="G27">
        <f t="shared" si="0"/>
        <v>279</v>
      </c>
      <c r="H27" s="7">
        <f t="shared" si="1"/>
        <v>60.57347670250897</v>
      </c>
    </row>
    <row r="28" spans="1:8" ht="17" x14ac:dyDescent="0.2">
      <c r="A28" s="5" t="s">
        <v>34</v>
      </c>
      <c r="B28">
        <v>11</v>
      </c>
      <c r="C28">
        <v>11</v>
      </c>
      <c r="D28">
        <f t="shared" si="2"/>
        <v>100</v>
      </c>
      <c r="E28">
        <v>22</v>
      </c>
      <c r="F28">
        <v>12</v>
      </c>
      <c r="G28">
        <f t="shared" si="0"/>
        <v>34</v>
      </c>
      <c r="H28" s="7">
        <f t="shared" si="1"/>
        <v>64.705882352941174</v>
      </c>
    </row>
    <row r="29" spans="1:8" ht="17" x14ac:dyDescent="0.2">
      <c r="A29" s="8" t="s">
        <v>35</v>
      </c>
      <c r="B29">
        <v>103</v>
      </c>
      <c r="C29">
        <v>110</v>
      </c>
      <c r="D29">
        <f t="shared" si="2"/>
        <v>93.63636363636364</v>
      </c>
      <c r="E29">
        <v>266</v>
      </c>
      <c r="F29">
        <v>127</v>
      </c>
      <c r="G29">
        <f t="shared" si="0"/>
        <v>393</v>
      </c>
      <c r="H29" s="7">
        <f t="shared" si="1"/>
        <v>67.684478371501271</v>
      </c>
    </row>
    <row r="30" spans="1:8" ht="17" x14ac:dyDescent="0.2">
      <c r="A30" s="8" t="s">
        <v>36</v>
      </c>
      <c r="B30">
        <v>17</v>
      </c>
      <c r="C30">
        <v>17</v>
      </c>
      <c r="D30">
        <f t="shared" si="2"/>
        <v>100</v>
      </c>
      <c r="E30">
        <v>45</v>
      </c>
      <c r="F30">
        <v>21</v>
      </c>
      <c r="G30">
        <f t="shared" si="0"/>
        <v>66</v>
      </c>
      <c r="H30" s="7">
        <f t="shared" si="1"/>
        <v>68.181818181818173</v>
      </c>
    </row>
    <row r="31" spans="1:8" ht="17" x14ac:dyDescent="0.2">
      <c r="A31" s="8" t="s">
        <v>37</v>
      </c>
      <c r="B31">
        <v>19</v>
      </c>
      <c r="C31">
        <v>19</v>
      </c>
      <c r="D31">
        <f t="shared" si="2"/>
        <v>100</v>
      </c>
      <c r="E31">
        <v>39</v>
      </c>
      <c r="F31">
        <v>24</v>
      </c>
      <c r="G31">
        <f t="shared" si="0"/>
        <v>63</v>
      </c>
      <c r="H31" s="7">
        <f t="shared" si="1"/>
        <v>61.904761904761905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Fine, Sydney</cp:lastModifiedBy>
  <dcterms:created xsi:type="dcterms:W3CDTF">2024-12-18T14:37:40Z</dcterms:created>
  <dcterms:modified xsi:type="dcterms:W3CDTF">2025-03-26T15:29:44Z</dcterms:modified>
</cp:coreProperties>
</file>