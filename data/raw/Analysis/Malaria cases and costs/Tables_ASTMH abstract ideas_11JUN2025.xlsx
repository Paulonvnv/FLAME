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Malaria cases and costs/"/>
    </mc:Choice>
  </mc:AlternateContent>
  <xr:revisionPtr revIDLastSave="0" documentId="13_ncr:1_{D00D91DC-67C1-C84A-9248-35B162497955}" xr6:coauthVersionLast="47" xr6:coauthVersionMax="47" xr10:uidLastSave="{00000000-0000-0000-0000-000000000000}"/>
  <bookViews>
    <workbookView xWindow="9540" yWindow="600" windowWidth="28040" windowHeight="17160" activeTab="2" xr2:uid="{7DCF3BDA-7463-0244-A6FB-611FB6DA433F}"/>
  </bookViews>
  <sheets>
    <sheet name="Sheet1" sheetId="1" r:id="rId1"/>
    <sheet name="Sheet2" sheetId="2" r:id="rId2"/>
    <sheet name="Sheet3" sheetId="3" r:id="rId3"/>
  </sheets>
  <calcPr calcId="191029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3" l="1"/>
  <c r="I6" i="3"/>
  <c r="J6" i="3"/>
  <c r="K6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2" i="3"/>
  <c r="I22" i="3"/>
  <c r="J22" i="3"/>
  <c r="K22" i="3"/>
  <c r="H23" i="3"/>
  <c r="I23" i="3"/>
  <c r="J23" i="3"/>
  <c r="K23" i="3"/>
  <c r="H24" i="3"/>
  <c r="J24" i="3"/>
  <c r="K24" i="3"/>
  <c r="H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J33" i="3"/>
  <c r="K33" i="3"/>
  <c r="H34" i="3"/>
  <c r="I34" i="3"/>
  <c r="J34" i="3"/>
  <c r="K34" i="3"/>
  <c r="H35" i="3"/>
  <c r="J35" i="3"/>
  <c r="K35" i="3"/>
  <c r="H36" i="3"/>
  <c r="I36" i="3"/>
  <c r="J36" i="3"/>
  <c r="K36" i="3"/>
  <c r="H37" i="3"/>
  <c r="I37" i="3"/>
  <c r="J37" i="3"/>
  <c r="K37" i="3"/>
  <c r="H38" i="3"/>
  <c r="J38" i="3"/>
  <c r="K38" i="3"/>
  <c r="H39" i="3"/>
  <c r="J39" i="3"/>
  <c r="K39" i="3"/>
  <c r="I5" i="3"/>
  <c r="J5" i="3"/>
  <c r="K5" i="3"/>
  <c r="H5" i="3"/>
  <c r="K9" i="2"/>
  <c r="L9" i="2"/>
  <c r="J9" i="2"/>
  <c r="I9" i="2"/>
  <c r="I10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J4" i="2"/>
  <c r="K4" i="2"/>
  <c r="L4" i="2"/>
  <c r="I4" i="2"/>
  <c r="C10" i="2"/>
</calcChain>
</file>

<file path=xl/sharedStrings.xml><?xml version="1.0" encoding="utf-8"?>
<sst xmlns="http://schemas.openxmlformats.org/spreadsheetml/2006/main" count="88" uniqueCount="56">
  <si>
    <t>How many days could you not do your normal daily activities due to your illness?</t>
  </si>
  <si>
    <t>How many days could you not go to school due to your illness (&lt;15)</t>
  </si>
  <si>
    <t>2.89 (2.59)</t>
  </si>
  <si>
    <t>3.08 (2.84)</t>
  </si>
  <si>
    <t>1.87 (2.28)</t>
  </si>
  <si>
    <t>Malaria cases (n=196)</t>
  </si>
  <si>
    <t>How many days could you not work on your primary economic activity due to your illness (over 15 yo)</t>
  </si>
  <si>
    <t>Mal case</t>
  </si>
  <si>
    <t>Family</t>
  </si>
  <si>
    <t>How many days could your family member not work on their primary economic activity due to your illness (over 15 yo)</t>
  </si>
  <si>
    <t>How many days could your family member not go to school due to your illness (&lt;15)</t>
  </si>
  <si>
    <t>Total number of family members impacted</t>
  </si>
  <si>
    <t>Age family members affected</t>
  </si>
  <si>
    <t>0.7 (1.8)</t>
  </si>
  <si>
    <t>0 (0)</t>
  </si>
  <si>
    <t>33.9 (9.37)</t>
  </si>
  <si>
    <t>Total no work + no school??</t>
  </si>
  <si>
    <t>Total no work + no school?</t>
  </si>
  <si>
    <t>TWO TOTALS ADDED?</t>
  </si>
  <si>
    <t>Diagnosis</t>
  </si>
  <si>
    <t>Hospital admission</t>
  </si>
  <si>
    <t xml:space="preserve">Travel </t>
  </si>
  <si>
    <t xml:space="preserve">Mean </t>
  </si>
  <si>
    <t>Std dev</t>
  </si>
  <si>
    <t>Median</t>
  </si>
  <si>
    <t>IQR</t>
  </si>
  <si>
    <t>Treatment</t>
  </si>
  <si>
    <t>After visits</t>
  </si>
  <si>
    <t>Total direct costs</t>
  </si>
  <si>
    <t>Mean of all</t>
  </si>
  <si>
    <t xml:space="preserve">sum of all </t>
  </si>
  <si>
    <t>Sex</t>
  </si>
  <si>
    <t>Male</t>
  </si>
  <si>
    <t>Female</t>
  </si>
  <si>
    <t>Age group</t>
  </si>
  <si>
    <t>6-11 mos</t>
  </si>
  <si>
    <t>1-15 yrs</t>
  </si>
  <si>
    <t>16-30 yrs</t>
  </si>
  <si>
    <t>31-45 yrs</t>
  </si>
  <si>
    <t>46-60 yrs</t>
  </si>
  <si>
    <t>61+ yrs</t>
  </si>
  <si>
    <t>Direct costs</t>
  </si>
  <si>
    <t>mean</t>
  </si>
  <si>
    <t>sd</t>
  </si>
  <si>
    <t>Anemia category</t>
  </si>
  <si>
    <t>Moderate</t>
  </si>
  <si>
    <t>Mild</t>
  </si>
  <si>
    <t>Normal</t>
  </si>
  <si>
    <t>Severe</t>
  </si>
  <si>
    <t>NA</t>
  </si>
  <si>
    <t>Community</t>
  </si>
  <si>
    <t>USD</t>
  </si>
  <si>
    <t>SOLES</t>
  </si>
  <si>
    <t>median</t>
  </si>
  <si>
    <t>iqr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</si>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</sst>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C386-7D70-7B46-A016-CB34A505B50C}">
  <dimension ref="A2:C21"/>
  <sheetViews>
    <sheetView zoomScale="130" zoomScaleNormal="130" workbookViewId="0">
      <selection activeCell="G7" sqref="G7"/>
    </sheetView>
  </sheetViews>
  <sheetFormatPr baseColWidth="10" defaultRowHeight="16" x14ac:dyDescent="0.2"/>
  <cols>
    <col min="2" max="2" width="84" bestFit="1" customWidth="1"/>
  </cols>
  <sheetData>
    <row r="2" spans="1:3" x14ac:dyDescent="0.2">
      <c r="C2" t="s">
        <v>5</v>
      </c>
    </row>
    <row r="3" spans="1:3" x14ac:dyDescent="0.2">
      <c r="A3" t="s">
        <v>7</v>
      </c>
      <c r="B3" t="s">
        <v>0</v>
      </c>
      <c r="C3" t="s">
        <v>2</v>
      </c>
    </row>
    <row r="4" spans="1:3" x14ac:dyDescent="0.2">
      <c r="B4" t="s">
        <v>6</v>
      </c>
      <c r="C4" t="s">
        <v>3</v>
      </c>
    </row>
    <row r="5" spans="1:3" x14ac:dyDescent="0.2">
      <c r="B5" t="s">
        <v>1</v>
      </c>
      <c r="C5" t="s">
        <v>4</v>
      </c>
    </row>
    <row r="7" spans="1:3" x14ac:dyDescent="0.2">
      <c r="B7" t="s">
        <v>16</v>
      </c>
    </row>
    <row r="9" spans="1:3" x14ac:dyDescent="0.2">
      <c r="A9" t="s">
        <v>8</v>
      </c>
      <c r="B9" t="s">
        <v>9</v>
      </c>
      <c r="C9" t="s">
        <v>13</v>
      </c>
    </row>
    <row r="10" spans="1:3" x14ac:dyDescent="0.2">
      <c r="B10" t="s">
        <v>10</v>
      </c>
      <c r="C10" t="s">
        <v>14</v>
      </c>
    </row>
    <row r="12" spans="1:3" x14ac:dyDescent="0.2">
      <c r="B12" t="s">
        <v>17</v>
      </c>
    </row>
    <row r="14" spans="1:3" x14ac:dyDescent="0.2">
      <c r="B14" s="1" t="s">
        <v>18</v>
      </c>
    </row>
    <row r="19" spans="2:3" x14ac:dyDescent="0.2">
      <c r="B19" t="s">
        <v>11</v>
      </c>
      <c r="C19">
        <v>30</v>
      </c>
    </row>
    <row r="21" spans="2:3" x14ac:dyDescent="0.2">
      <c r="B21" t="s">
        <v>12</v>
      </c>
      <c r="C2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F673-6865-D144-AFA3-D5ED534813F7}">
  <dimension ref="A2:L13"/>
  <sheetViews>
    <sheetView zoomScale="107" workbookViewId="0">
      <selection activeCell="I9" sqref="I9:L10"/>
    </sheetView>
  </sheetViews>
  <sheetFormatPr baseColWidth="10" defaultRowHeight="16" x14ac:dyDescent="0.2"/>
  <sheetData>
    <row r="2" spans="1:12" x14ac:dyDescent="0.2">
      <c r="B2" t="s">
        <v>52</v>
      </c>
      <c r="H2" t="s">
        <v>51</v>
      </c>
    </row>
    <row r="3" spans="1:12" x14ac:dyDescent="0.2">
      <c r="C3" t="s">
        <v>22</v>
      </c>
      <c r="D3" t="s">
        <v>23</v>
      </c>
      <c r="E3" t="s">
        <v>24</v>
      </c>
      <c r="F3" t="s">
        <v>25</v>
      </c>
      <c r="I3" t="s">
        <v>22</v>
      </c>
      <c r="J3" t="s">
        <v>23</v>
      </c>
      <c r="K3" t="s">
        <v>24</v>
      </c>
      <c r="L3" t="s">
        <v>25</v>
      </c>
    </row>
    <row r="4" spans="1:12" x14ac:dyDescent="0.2">
      <c r="B4" t="s">
        <v>19</v>
      </c>
      <c r="C4">
        <v>7.5</v>
      </c>
      <c r="D4">
        <v>3.54</v>
      </c>
      <c r="E4">
        <v>7.5</v>
      </c>
      <c r="F4">
        <v>2.5</v>
      </c>
      <c r="H4" t="s">
        <v>19</v>
      </c>
      <c r="I4" s="2">
        <f>C4*0.28</f>
        <v>2.1</v>
      </c>
      <c r="J4" s="2">
        <f>D4*0.28</f>
        <v>0.99120000000000008</v>
      </c>
      <c r="K4" s="2">
        <f>E4*0.28</f>
        <v>2.1</v>
      </c>
      <c r="L4" s="2">
        <f>F4*0.28</f>
        <v>0.70000000000000007</v>
      </c>
    </row>
    <row r="5" spans="1:12" x14ac:dyDescent="0.2">
      <c r="B5" t="s">
        <v>26</v>
      </c>
      <c r="C5">
        <v>0</v>
      </c>
      <c r="D5">
        <v>0</v>
      </c>
      <c r="E5">
        <v>0</v>
      </c>
      <c r="F5">
        <v>0</v>
      </c>
      <c r="H5" t="s">
        <v>26</v>
      </c>
      <c r="I5" s="2">
        <f t="shared" ref="I5:I10" si="0">C5*0.28</f>
        <v>0</v>
      </c>
      <c r="J5" s="2">
        <f>D5*0.28</f>
        <v>0</v>
      </c>
      <c r="K5" s="2">
        <f t="shared" ref="K5:K8" si="1">E5*0.28</f>
        <v>0</v>
      </c>
      <c r="L5" s="2">
        <f t="shared" ref="L5:L8" si="2">F5*0.28</f>
        <v>0</v>
      </c>
    </row>
    <row r="6" spans="1:12" x14ac:dyDescent="0.2">
      <c r="B6" t="s">
        <v>27</v>
      </c>
      <c r="C6">
        <v>0</v>
      </c>
      <c r="D6">
        <v>0</v>
      </c>
      <c r="E6">
        <v>0</v>
      </c>
      <c r="F6">
        <v>0</v>
      </c>
      <c r="H6" t="s">
        <v>27</v>
      </c>
      <c r="I6" s="2">
        <f t="shared" si="0"/>
        <v>0</v>
      </c>
      <c r="J6" s="2">
        <f>D6*0.28</f>
        <v>0</v>
      </c>
      <c r="K6" s="2">
        <f t="shared" si="1"/>
        <v>0</v>
      </c>
      <c r="L6" s="2">
        <f t="shared" si="2"/>
        <v>0</v>
      </c>
    </row>
    <row r="7" spans="1:12" x14ac:dyDescent="0.2">
      <c r="B7" t="s">
        <v>20</v>
      </c>
      <c r="C7">
        <v>0</v>
      </c>
      <c r="D7">
        <v>0</v>
      </c>
      <c r="E7">
        <v>0</v>
      </c>
      <c r="F7">
        <v>0</v>
      </c>
      <c r="H7" t="s">
        <v>20</v>
      </c>
      <c r="I7" s="2">
        <f t="shared" si="0"/>
        <v>0</v>
      </c>
      <c r="J7" s="2">
        <f>D7*0.28</f>
        <v>0</v>
      </c>
      <c r="K7" s="2">
        <f t="shared" si="1"/>
        <v>0</v>
      </c>
      <c r="L7" s="2">
        <f t="shared" si="2"/>
        <v>0</v>
      </c>
    </row>
    <row r="8" spans="1:12" x14ac:dyDescent="0.2">
      <c r="B8" t="s">
        <v>21</v>
      </c>
      <c r="C8">
        <v>11.8</v>
      </c>
      <c r="D8">
        <v>26.3</v>
      </c>
      <c r="E8">
        <v>0</v>
      </c>
      <c r="F8">
        <v>0</v>
      </c>
      <c r="H8" t="s">
        <v>21</v>
      </c>
      <c r="I8" s="2">
        <f t="shared" si="0"/>
        <v>3.3040000000000007</v>
      </c>
      <c r="J8" s="2">
        <f>D8*0.28</f>
        <v>7.3640000000000008</v>
      </c>
      <c r="K8" s="2">
        <f t="shared" si="1"/>
        <v>0</v>
      </c>
      <c r="L8" s="2">
        <f t="shared" si="2"/>
        <v>0</v>
      </c>
    </row>
    <row r="9" spans="1:12" x14ac:dyDescent="0.2">
      <c r="A9" t="s">
        <v>29</v>
      </c>
      <c r="B9" t="s">
        <v>28</v>
      </c>
      <c r="C9">
        <v>11.9</v>
      </c>
      <c r="D9">
        <v>26.3</v>
      </c>
      <c r="E9">
        <v>0</v>
      </c>
      <c r="F9">
        <v>2.25</v>
      </c>
      <c r="I9" s="2">
        <f>C9*0.28</f>
        <v>3.3320000000000003</v>
      </c>
      <c r="J9" s="2">
        <f>D9*0.28</f>
        <v>7.3640000000000008</v>
      </c>
      <c r="K9" s="2">
        <f>E9*0.28</f>
        <v>0</v>
      </c>
      <c r="L9" s="2">
        <f>F9*0.28</f>
        <v>0.63000000000000012</v>
      </c>
    </row>
    <row r="10" spans="1:12" x14ac:dyDescent="0.2">
      <c r="A10" t="s">
        <v>30</v>
      </c>
      <c r="B10" t="s">
        <v>28</v>
      </c>
      <c r="C10">
        <f>SUM(C4:C8)</f>
        <v>19.3</v>
      </c>
      <c r="I10" s="2">
        <f t="shared" si="0"/>
        <v>5.4040000000000008</v>
      </c>
      <c r="J10" s="2"/>
      <c r="K10" s="2"/>
      <c r="L10" s="2"/>
    </row>
    <row r="11" spans="1:12" x14ac:dyDescent="0.2">
      <c r="I11" s="2"/>
      <c r="J11" s="2"/>
      <c r="K11" s="2"/>
      <c r="L11" s="2"/>
    </row>
    <row r="12" spans="1:12" x14ac:dyDescent="0.2">
      <c r="I12" s="2"/>
      <c r="J12" s="2"/>
      <c r="K12" s="2"/>
      <c r="L12" s="2"/>
    </row>
    <row r="13" spans="1:12" x14ac:dyDescent="0.2">
      <c r="I13" s="2"/>
      <c r="J13" s="2"/>
      <c r="K13" s="2"/>
      <c r="L13" s="2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5616-3E02-564D-B25A-7E63A002FFA6}">
  <dimension ref="A1:K39"/>
  <sheetViews>
    <sheetView tabSelected="1" topLeftCell="A13" zoomScale="110" zoomScaleNormal="110" workbookViewId="0">
      <selection activeCell="B15" sqref="B15"/>
    </sheetView>
  </sheetViews>
  <sheetFormatPr baseColWidth="10" defaultRowHeight="16" x14ac:dyDescent="0.2"/>
  <cols>
    <col min="8" max="11" width="10.83203125" style="2"/>
  </cols>
  <sheetData>
    <row r="1" spans="1:11" x14ac:dyDescent="0.2">
      <c r="A1" t="s">
        <v>52</v>
      </c>
      <c r="H1" s="2" t="s">
        <v>51</v>
      </c>
    </row>
    <row r="2" spans="1:11" x14ac:dyDescent="0.2">
      <c r="C2" t="s">
        <v>41</v>
      </c>
    </row>
    <row r="3" spans="1:11" x14ac:dyDescent="0.2">
      <c r="C3" t="s">
        <v>42</v>
      </c>
      <c r="D3" t="s">
        <v>43</v>
      </c>
      <c r="E3" t="s">
        <v>53</v>
      </c>
      <c r="F3" t="s">
        <v>54</v>
      </c>
    </row>
    <row r="4" spans="1:11" x14ac:dyDescent="0.2">
      <c r="A4" t="s">
        <v>31</v>
      </c>
    </row>
    <row r="5" spans="1:11" x14ac:dyDescent="0.2">
      <c r="B5" t="s">
        <v>32</v>
      </c>
      <c r="C5">
        <v>13.7</v>
      </c>
      <c r="D5">
        <v>29</v>
      </c>
      <c r="E5">
        <v>0</v>
      </c>
      <c r="F5">
        <v>0</v>
      </c>
      <c r="H5" s="2">
        <f>C5*0.28</f>
        <v>3.8360000000000003</v>
      </c>
      <c r="I5" s="2">
        <f t="shared" ref="I5:K5" si="0">D5*0.28</f>
        <v>8.120000000000001</v>
      </c>
      <c r="J5" s="2">
        <f t="shared" si="0"/>
        <v>0</v>
      </c>
      <c r="K5" s="2">
        <f t="shared" si="0"/>
        <v>0</v>
      </c>
    </row>
    <row r="6" spans="1:11" x14ac:dyDescent="0.2">
      <c r="B6" t="s">
        <v>33</v>
      </c>
      <c r="C6">
        <v>10.5</v>
      </c>
      <c r="D6">
        <v>24.2</v>
      </c>
      <c r="E6">
        <v>0</v>
      </c>
      <c r="F6">
        <v>4.5</v>
      </c>
      <c r="H6" s="2">
        <f t="shared" ref="H6:H39" si="1">C6*0.28</f>
        <v>2.9400000000000004</v>
      </c>
      <c r="I6" s="2">
        <f t="shared" ref="I6:I37" si="2">D6*0.28</f>
        <v>6.7760000000000007</v>
      </c>
      <c r="J6" s="2">
        <f t="shared" ref="J6:J39" si="3">E6*0.28</f>
        <v>0</v>
      </c>
      <c r="K6" s="2">
        <f t="shared" ref="K6:K39" si="4">F6*0.28</f>
        <v>1.2600000000000002</v>
      </c>
    </row>
    <row r="8" spans="1:11" x14ac:dyDescent="0.2">
      <c r="A8" t="s">
        <v>34</v>
      </c>
    </row>
    <row r="9" spans="1:11" x14ac:dyDescent="0.2">
      <c r="B9" t="s">
        <v>35</v>
      </c>
      <c r="C9" t="s">
        <v>55</v>
      </c>
      <c r="D9" t="s">
        <v>55</v>
      </c>
      <c r="E9" t="s">
        <v>55</v>
      </c>
      <c r="F9" t="s">
        <v>55</v>
      </c>
      <c r="H9" s="2" t="s">
        <v>55</v>
      </c>
      <c r="I9" s="2" t="s">
        <v>55</v>
      </c>
      <c r="J9" s="2" t="s">
        <v>55</v>
      </c>
      <c r="K9" s="2" t="s">
        <v>55</v>
      </c>
    </row>
    <row r="10" spans="1:11" x14ac:dyDescent="0.2">
      <c r="B10" t="s">
        <v>36</v>
      </c>
      <c r="C10">
        <v>9.27</v>
      </c>
      <c r="D10">
        <v>22.9</v>
      </c>
      <c r="E10">
        <v>0</v>
      </c>
      <c r="F10">
        <v>0</v>
      </c>
      <c r="H10" s="2">
        <f t="shared" si="1"/>
        <v>2.5956000000000001</v>
      </c>
      <c r="I10" s="2">
        <f t="shared" si="2"/>
        <v>6.4119999999999999</v>
      </c>
      <c r="J10" s="2">
        <f t="shared" si="3"/>
        <v>0</v>
      </c>
      <c r="K10" s="2">
        <f t="shared" si="4"/>
        <v>0</v>
      </c>
    </row>
    <row r="11" spans="1:11" x14ac:dyDescent="0.2">
      <c r="B11" t="s">
        <v>37</v>
      </c>
      <c r="C11">
        <v>12.6</v>
      </c>
      <c r="D11">
        <v>20.399999999999999</v>
      </c>
      <c r="E11">
        <v>0</v>
      </c>
      <c r="F11">
        <v>30</v>
      </c>
      <c r="H11" s="2">
        <f t="shared" si="1"/>
        <v>3.528</v>
      </c>
      <c r="I11" s="2">
        <f t="shared" si="2"/>
        <v>5.7119999999999997</v>
      </c>
      <c r="J11" s="2">
        <f t="shared" si="3"/>
        <v>0</v>
      </c>
      <c r="K11" s="2">
        <f t="shared" si="4"/>
        <v>8.4</v>
      </c>
    </row>
    <row r="12" spans="1:11" x14ac:dyDescent="0.2">
      <c r="B12" t="s">
        <v>38</v>
      </c>
      <c r="C12">
        <v>19.5</v>
      </c>
      <c r="D12">
        <v>38.799999999999997</v>
      </c>
      <c r="E12">
        <v>0</v>
      </c>
      <c r="F12">
        <v>28.5</v>
      </c>
      <c r="H12" s="2">
        <f t="shared" si="1"/>
        <v>5.4600000000000009</v>
      </c>
      <c r="I12" s="2">
        <f t="shared" si="2"/>
        <v>10.864000000000001</v>
      </c>
      <c r="J12" s="2">
        <f t="shared" si="3"/>
        <v>0</v>
      </c>
      <c r="K12" s="2">
        <f t="shared" si="4"/>
        <v>7.98</v>
      </c>
    </row>
    <row r="13" spans="1:11" x14ac:dyDescent="0.2">
      <c r="B13" t="s">
        <v>39</v>
      </c>
      <c r="C13">
        <v>4.78</v>
      </c>
      <c r="D13">
        <v>14.4</v>
      </c>
      <c r="E13">
        <v>0</v>
      </c>
      <c r="F13">
        <v>0</v>
      </c>
      <c r="H13" s="2">
        <f t="shared" si="1"/>
        <v>1.3384000000000003</v>
      </c>
      <c r="I13" s="2">
        <f t="shared" si="2"/>
        <v>4.0320000000000009</v>
      </c>
      <c r="J13" s="2">
        <f t="shared" si="3"/>
        <v>0</v>
      </c>
      <c r="K13" s="2">
        <f t="shared" si="4"/>
        <v>0</v>
      </c>
    </row>
    <row r="14" spans="1:11" x14ac:dyDescent="0.2">
      <c r="B14" t="s">
        <v>40</v>
      </c>
      <c r="C14">
        <v>16.2</v>
      </c>
      <c r="D14">
        <v>32.9</v>
      </c>
      <c r="E14">
        <v>0</v>
      </c>
      <c r="F14">
        <v>10</v>
      </c>
      <c r="H14" s="2">
        <f t="shared" si="1"/>
        <v>4.5360000000000005</v>
      </c>
      <c r="I14" s="2">
        <f t="shared" si="2"/>
        <v>9.2119999999999997</v>
      </c>
      <c r="J14" s="2">
        <f t="shared" si="3"/>
        <v>0</v>
      </c>
      <c r="K14" s="2">
        <f t="shared" si="4"/>
        <v>2.8000000000000003</v>
      </c>
    </row>
    <row r="16" spans="1:11" x14ac:dyDescent="0.2">
      <c r="A16" t="s">
        <v>44</v>
      </c>
      <c r="B16" t="s">
        <v>48</v>
      </c>
      <c r="C16">
        <v>0</v>
      </c>
      <c r="D16" t="s">
        <v>49</v>
      </c>
      <c r="E16">
        <v>0</v>
      </c>
      <c r="F16">
        <v>0</v>
      </c>
      <c r="H16" s="2">
        <f t="shared" si="1"/>
        <v>0</v>
      </c>
      <c r="I16" s="2" t="s">
        <v>55</v>
      </c>
      <c r="J16" s="2">
        <f t="shared" si="3"/>
        <v>0</v>
      </c>
      <c r="K16" s="2">
        <f t="shared" si="4"/>
        <v>0</v>
      </c>
    </row>
    <row r="17" spans="1:11" x14ac:dyDescent="0.2">
      <c r="B17" t="s">
        <v>45</v>
      </c>
      <c r="C17">
        <v>7.1</v>
      </c>
      <c r="D17">
        <v>19.8</v>
      </c>
      <c r="E17">
        <v>0</v>
      </c>
      <c r="F17">
        <v>0</v>
      </c>
      <c r="H17" s="2">
        <f t="shared" si="1"/>
        <v>1.988</v>
      </c>
      <c r="I17" s="2">
        <f t="shared" si="2"/>
        <v>5.5440000000000005</v>
      </c>
      <c r="J17" s="2">
        <f t="shared" si="3"/>
        <v>0</v>
      </c>
      <c r="K17" s="2">
        <f t="shared" si="4"/>
        <v>0</v>
      </c>
    </row>
    <row r="18" spans="1:11" x14ac:dyDescent="0.2">
      <c r="B18" t="s">
        <v>46</v>
      </c>
      <c r="C18">
        <v>12.1</v>
      </c>
      <c r="D18">
        <v>22.7</v>
      </c>
      <c r="E18">
        <v>0</v>
      </c>
      <c r="F18">
        <v>17</v>
      </c>
      <c r="H18" s="2">
        <f t="shared" si="1"/>
        <v>3.3880000000000003</v>
      </c>
      <c r="I18" s="2">
        <f t="shared" si="2"/>
        <v>6.3560000000000008</v>
      </c>
      <c r="J18" s="2">
        <f t="shared" si="3"/>
        <v>0</v>
      </c>
      <c r="K18" s="2">
        <f t="shared" si="4"/>
        <v>4.7600000000000007</v>
      </c>
    </row>
    <row r="19" spans="1:11" x14ac:dyDescent="0.2">
      <c r="B19" t="s">
        <v>47</v>
      </c>
      <c r="C19">
        <v>12.5</v>
      </c>
      <c r="D19">
        <v>27.9</v>
      </c>
      <c r="E19">
        <v>0</v>
      </c>
      <c r="F19">
        <v>10</v>
      </c>
      <c r="H19" s="2">
        <f t="shared" si="1"/>
        <v>3.5000000000000004</v>
      </c>
      <c r="I19" s="2">
        <f t="shared" si="2"/>
        <v>7.8120000000000003</v>
      </c>
      <c r="J19" s="2">
        <f t="shared" si="3"/>
        <v>0</v>
      </c>
      <c r="K19" s="2">
        <f t="shared" si="4"/>
        <v>2.8000000000000003</v>
      </c>
    </row>
    <row r="21" spans="1:11" x14ac:dyDescent="0.2">
      <c r="A21" t="s">
        <v>50</v>
      </c>
    </row>
    <row r="22" spans="1:11" x14ac:dyDescent="0.2">
      <c r="B22">
        <v>1</v>
      </c>
      <c r="C22">
        <v>1.46</v>
      </c>
      <c r="D22">
        <v>5.81</v>
      </c>
      <c r="E22">
        <v>0</v>
      </c>
      <c r="F22">
        <v>0</v>
      </c>
      <c r="H22" s="2">
        <f t="shared" si="1"/>
        <v>0.40880000000000005</v>
      </c>
      <c r="I22" s="2">
        <f t="shared" si="2"/>
        <v>1.6268</v>
      </c>
      <c r="J22" s="2">
        <f t="shared" si="3"/>
        <v>0</v>
      </c>
      <c r="K22" s="2">
        <f t="shared" si="4"/>
        <v>0</v>
      </c>
    </row>
    <row r="23" spans="1:11" x14ac:dyDescent="0.2">
      <c r="B23">
        <v>2</v>
      </c>
      <c r="C23">
        <v>29.5</v>
      </c>
      <c r="D23">
        <v>19.5</v>
      </c>
      <c r="E23">
        <v>30</v>
      </c>
      <c r="F23">
        <v>18</v>
      </c>
      <c r="H23" s="2">
        <f t="shared" si="1"/>
        <v>8.2600000000000016</v>
      </c>
      <c r="I23" s="2">
        <f t="shared" si="2"/>
        <v>5.4600000000000009</v>
      </c>
      <c r="J23" s="2">
        <f t="shared" si="3"/>
        <v>8.4</v>
      </c>
      <c r="K23" s="2">
        <f t="shared" si="4"/>
        <v>5.0400000000000009</v>
      </c>
    </row>
    <row r="24" spans="1:11" x14ac:dyDescent="0.2">
      <c r="B24">
        <v>3</v>
      </c>
      <c r="C24">
        <v>16</v>
      </c>
      <c r="D24" t="s">
        <v>49</v>
      </c>
      <c r="E24">
        <v>16</v>
      </c>
      <c r="F24">
        <v>0</v>
      </c>
      <c r="H24" s="2">
        <f t="shared" si="1"/>
        <v>4.4800000000000004</v>
      </c>
      <c r="I24" s="2" t="s">
        <v>55</v>
      </c>
      <c r="J24" s="2">
        <f t="shared" si="3"/>
        <v>4.4800000000000004</v>
      </c>
      <c r="K24" s="2">
        <f t="shared" si="4"/>
        <v>0</v>
      </c>
    </row>
    <row r="25" spans="1:11" x14ac:dyDescent="0.2">
      <c r="B25">
        <v>4</v>
      </c>
      <c r="C25">
        <v>48</v>
      </c>
      <c r="D25" t="s">
        <v>49</v>
      </c>
      <c r="E25">
        <v>48</v>
      </c>
      <c r="F25">
        <v>0</v>
      </c>
      <c r="H25" s="2">
        <f t="shared" si="1"/>
        <v>13.440000000000001</v>
      </c>
      <c r="I25" s="2" t="s">
        <v>55</v>
      </c>
      <c r="J25" s="2">
        <f t="shared" si="3"/>
        <v>13.440000000000001</v>
      </c>
      <c r="K25" s="2">
        <f t="shared" si="4"/>
        <v>0</v>
      </c>
    </row>
    <row r="26" spans="1:11" x14ac:dyDescent="0.2">
      <c r="B26">
        <v>5</v>
      </c>
      <c r="C26">
        <v>160</v>
      </c>
      <c r="D26">
        <v>0</v>
      </c>
      <c r="E26">
        <v>160</v>
      </c>
      <c r="F26">
        <v>0</v>
      </c>
      <c r="H26" s="2">
        <f t="shared" si="1"/>
        <v>44.800000000000004</v>
      </c>
      <c r="I26" s="2">
        <f t="shared" si="2"/>
        <v>0</v>
      </c>
      <c r="J26" s="2">
        <f t="shared" si="3"/>
        <v>44.800000000000004</v>
      </c>
      <c r="K26" s="2">
        <f t="shared" si="4"/>
        <v>0</v>
      </c>
    </row>
    <row r="27" spans="1:11" x14ac:dyDescent="0.2">
      <c r="B27">
        <v>6</v>
      </c>
      <c r="C27">
        <v>2.15</v>
      </c>
      <c r="D27">
        <v>7.77</v>
      </c>
      <c r="E27">
        <v>0</v>
      </c>
      <c r="F27">
        <v>0</v>
      </c>
      <c r="H27" s="2">
        <f t="shared" si="1"/>
        <v>0.60199999999999998</v>
      </c>
      <c r="I27" s="2">
        <f t="shared" si="2"/>
        <v>2.1756000000000002</v>
      </c>
      <c r="J27" s="2">
        <f t="shared" si="3"/>
        <v>0</v>
      </c>
      <c r="K27" s="2">
        <f t="shared" si="4"/>
        <v>0</v>
      </c>
    </row>
    <row r="28" spans="1:11" x14ac:dyDescent="0.2">
      <c r="B28">
        <v>7</v>
      </c>
      <c r="C28">
        <v>0</v>
      </c>
      <c r="D28">
        <v>0</v>
      </c>
      <c r="E28">
        <v>0</v>
      </c>
      <c r="F28">
        <v>0</v>
      </c>
      <c r="H28" s="2">
        <f t="shared" si="1"/>
        <v>0</v>
      </c>
      <c r="I28" s="2">
        <f t="shared" si="2"/>
        <v>0</v>
      </c>
      <c r="J28" s="2">
        <f t="shared" si="3"/>
        <v>0</v>
      </c>
      <c r="K28" s="2">
        <f t="shared" si="4"/>
        <v>0</v>
      </c>
    </row>
    <row r="29" spans="1:11" x14ac:dyDescent="0.2">
      <c r="B29">
        <v>9</v>
      </c>
      <c r="C29">
        <v>0</v>
      </c>
      <c r="D29">
        <v>0</v>
      </c>
      <c r="E29">
        <v>0</v>
      </c>
      <c r="F29">
        <v>0</v>
      </c>
      <c r="H29" s="2">
        <f t="shared" si="1"/>
        <v>0</v>
      </c>
      <c r="I29" s="2">
        <f t="shared" si="2"/>
        <v>0</v>
      </c>
      <c r="J29" s="2">
        <f t="shared" si="3"/>
        <v>0</v>
      </c>
      <c r="K29" s="2">
        <f t="shared" si="4"/>
        <v>0</v>
      </c>
    </row>
    <row r="30" spans="1:11" x14ac:dyDescent="0.2">
      <c r="B30">
        <v>12</v>
      </c>
      <c r="C30">
        <v>0</v>
      </c>
      <c r="D30">
        <v>0</v>
      </c>
      <c r="E30">
        <v>0</v>
      </c>
      <c r="F30">
        <v>0</v>
      </c>
      <c r="H30" s="2">
        <f t="shared" si="1"/>
        <v>0</v>
      </c>
      <c r="I30" s="2">
        <f t="shared" si="2"/>
        <v>0</v>
      </c>
      <c r="J30" s="2">
        <f t="shared" si="3"/>
        <v>0</v>
      </c>
      <c r="K30" s="2">
        <f t="shared" si="4"/>
        <v>0</v>
      </c>
    </row>
    <row r="31" spans="1:11" x14ac:dyDescent="0.2">
      <c r="B31">
        <v>13</v>
      </c>
      <c r="C31">
        <v>39.5</v>
      </c>
      <c r="D31">
        <v>31.6</v>
      </c>
      <c r="E31">
        <v>36</v>
      </c>
      <c r="F31">
        <v>23.5</v>
      </c>
      <c r="H31" s="2">
        <f t="shared" si="1"/>
        <v>11.06</v>
      </c>
      <c r="I31" s="2">
        <f t="shared" si="2"/>
        <v>8.8480000000000008</v>
      </c>
      <c r="J31" s="2">
        <f t="shared" si="3"/>
        <v>10.080000000000002</v>
      </c>
      <c r="K31" s="2">
        <f t="shared" si="4"/>
        <v>6.580000000000001</v>
      </c>
    </row>
    <row r="32" spans="1:11" x14ac:dyDescent="0.2">
      <c r="B32">
        <v>14</v>
      </c>
      <c r="C32">
        <v>0</v>
      </c>
      <c r="D32">
        <v>0</v>
      </c>
      <c r="E32">
        <v>0</v>
      </c>
      <c r="F32">
        <v>0</v>
      </c>
      <c r="H32" s="2">
        <f t="shared" si="1"/>
        <v>0</v>
      </c>
      <c r="I32" s="2">
        <f t="shared" si="2"/>
        <v>0</v>
      </c>
      <c r="J32" s="2">
        <f t="shared" si="3"/>
        <v>0</v>
      </c>
      <c r="K32" s="2">
        <f t="shared" si="4"/>
        <v>0</v>
      </c>
    </row>
    <row r="33" spans="2:11" x14ac:dyDescent="0.2">
      <c r="B33">
        <v>15</v>
      </c>
      <c r="C33">
        <v>40</v>
      </c>
      <c r="D33" t="s">
        <v>49</v>
      </c>
      <c r="E33">
        <v>40</v>
      </c>
      <c r="F33">
        <v>0</v>
      </c>
      <c r="H33" s="2">
        <f t="shared" si="1"/>
        <v>11.200000000000001</v>
      </c>
      <c r="I33" s="2" t="s">
        <v>55</v>
      </c>
      <c r="J33" s="2">
        <f t="shared" si="3"/>
        <v>11.200000000000001</v>
      </c>
      <c r="K33" s="2">
        <f t="shared" si="4"/>
        <v>0</v>
      </c>
    </row>
    <row r="34" spans="2:11" x14ac:dyDescent="0.2">
      <c r="B34">
        <v>16</v>
      </c>
      <c r="C34">
        <v>0</v>
      </c>
      <c r="D34">
        <v>0</v>
      </c>
      <c r="E34">
        <v>0</v>
      </c>
      <c r="F34">
        <v>0</v>
      </c>
      <c r="H34" s="2">
        <f t="shared" si="1"/>
        <v>0</v>
      </c>
      <c r="I34" s="2">
        <f t="shared" si="2"/>
        <v>0</v>
      </c>
      <c r="J34" s="2">
        <f t="shared" si="3"/>
        <v>0</v>
      </c>
      <c r="K34" s="2">
        <f t="shared" si="4"/>
        <v>0</v>
      </c>
    </row>
    <row r="35" spans="2:11" x14ac:dyDescent="0.2">
      <c r="B35">
        <v>18</v>
      </c>
      <c r="C35">
        <v>0</v>
      </c>
      <c r="D35" t="s">
        <v>49</v>
      </c>
      <c r="E35">
        <v>0</v>
      </c>
      <c r="F35">
        <v>0</v>
      </c>
      <c r="H35" s="2">
        <f t="shared" si="1"/>
        <v>0</v>
      </c>
      <c r="I35" s="2" t="s">
        <v>55</v>
      </c>
      <c r="J35" s="2">
        <f t="shared" si="3"/>
        <v>0</v>
      </c>
      <c r="K35" s="2">
        <f t="shared" si="4"/>
        <v>0</v>
      </c>
    </row>
    <row r="36" spans="2:11" x14ac:dyDescent="0.2">
      <c r="B36">
        <v>21</v>
      </c>
      <c r="C36">
        <v>26.7</v>
      </c>
      <c r="D36">
        <v>46.2</v>
      </c>
      <c r="E36">
        <v>0</v>
      </c>
      <c r="F36">
        <v>40</v>
      </c>
      <c r="H36" s="2">
        <f t="shared" si="1"/>
        <v>7.4760000000000009</v>
      </c>
      <c r="I36" s="2">
        <f t="shared" si="2"/>
        <v>12.936000000000002</v>
      </c>
      <c r="J36" s="2">
        <f t="shared" si="3"/>
        <v>0</v>
      </c>
      <c r="K36" s="2">
        <f t="shared" si="4"/>
        <v>11.200000000000001</v>
      </c>
    </row>
    <row r="37" spans="2:11" x14ac:dyDescent="0.2">
      <c r="B37">
        <v>24</v>
      </c>
      <c r="C37">
        <v>32.6</v>
      </c>
      <c r="D37">
        <v>15.4</v>
      </c>
      <c r="E37">
        <v>36</v>
      </c>
      <c r="F37">
        <v>6</v>
      </c>
      <c r="H37" s="2">
        <f t="shared" si="1"/>
        <v>9.1280000000000019</v>
      </c>
      <c r="I37" s="2">
        <f t="shared" si="2"/>
        <v>4.3120000000000003</v>
      </c>
      <c r="J37" s="2">
        <f t="shared" si="3"/>
        <v>10.080000000000002</v>
      </c>
      <c r="K37" s="2">
        <f t="shared" si="4"/>
        <v>1.6800000000000002</v>
      </c>
    </row>
    <row r="38" spans="2:11" x14ac:dyDescent="0.2">
      <c r="B38">
        <v>26</v>
      </c>
      <c r="C38">
        <v>90</v>
      </c>
      <c r="D38" t="s">
        <v>49</v>
      </c>
      <c r="E38">
        <v>90</v>
      </c>
      <c r="F38">
        <v>0</v>
      </c>
      <c r="H38" s="2">
        <f t="shared" si="1"/>
        <v>25.200000000000003</v>
      </c>
      <c r="I38" s="2" t="s">
        <v>55</v>
      </c>
      <c r="J38" s="2">
        <f t="shared" si="3"/>
        <v>25.200000000000003</v>
      </c>
      <c r="K38" s="2">
        <f t="shared" si="4"/>
        <v>0</v>
      </c>
    </row>
    <row r="39" spans="2:11" x14ac:dyDescent="0.2">
      <c r="B39">
        <v>27</v>
      </c>
      <c r="C39">
        <v>90</v>
      </c>
      <c r="D39" t="s">
        <v>49</v>
      </c>
      <c r="E39">
        <v>90</v>
      </c>
      <c r="F39">
        <v>0</v>
      </c>
      <c r="H39" s="2">
        <f t="shared" si="1"/>
        <v>25.200000000000003</v>
      </c>
      <c r="I39" s="2" t="s">
        <v>55</v>
      </c>
      <c r="J39" s="2">
        <f t="shared" si="3"/>
        <v>25.200000000000003</v>
      </c>
      <c r="K39" s="2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2025-06-11T19:17:35Z</dcterms:created>
  <dcterms:modified xsi:type="dcterms:W3CDTF">2025-06-26T18:46:03Z</dcterms:modified>
</cp:coreProperties>
</file>